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Yi\Downloads\"/>
    </mc:Choice>
  </mc:AlternateContent>
  <xr:revisionPtr revIDLastSave="0" documentId="8_{B65CDF1E-A66D-4B4B-9A97-2E17F7A273B8}" xr6:coauthVersionLast="47" xr6:coauthVersionMax="47" xr10:uidLastSave="{00000000-0000-0000-0000-000000000000}"/>
  <bookViews>
    <workbookView xWindow="-120" yWindow="-120" windowWidth="38640" windowHeight="21120" xr2:uid="{A1C442AC-47BD-44B1-9139-7C0F855FB0BE}"/>
  </bookViews>
  <sheets>
    <sheet name="S1 - Interventions" sheetId="4" r:id="rId1"/>
    <sheet name="S2 - Analysis, All" sheetId="5" r:id="rId2"/>
    <sheet name="S3 - Analysis, Eff vs. Not Eff" sheetId="10" r:id="rId3"/>
    <sheet name="S4 - Participant Education" sheetId="9" r:id="rId4"/>
  </sheets>
  <definedNames>
    <definedName name="_xlnm._FilterDatabase" localSheetId="0" hidden="1">'S1 - Interventions'!$A$9:$AF$75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5" l="1"/>
  <c r="N54" i="5"/>
  <c r="M54" i="5"/>
  <c r="D87" i="5"/>
  <c r="C87" i="5"/>
  <c r="C87" i="10" s="1"/>
  <c r="B87" i="5"/>
  <c r="N7" i="10"/>
  <c r="M7" i="10"/>
  <c r="O7" i="5"/>
  <c r="N7" i="5"/>
  <c r="M7" i="5"/>
  <c r="C86" i="5"/>
  <c r="C86" i="10" s="1"/>
  <c r="D86" i="5"/>
  <c r="B86" i="5"/>
  <c r="B86" i="10" s="1"/>
  <c r="C85" i="5"/>
  <c r="D85" i="5"/>
  <c r="B85" i="5"/>
  <c r="B85" i="10" s="1"/>
  <c r="C84" i="5"/>
  <c r="C84" i="10" s="1"/>
  <c r="D84" i="5"/>
  <c r="B84" i="5"/>
  <c r="B84" i="10" s="1"/>
  <c r="C83" i="5"/>
  <c r="C83" i="10" s="1"/>
  <c r="D83" i="5"/>
  <c r="B83" i="5"/>
  <c r="C82" i="5"/>
  <c r="C82" i="10" s="1"/>
  <c r="D82" i="5"/>
  <c r="B82" i="5"/>
  <c r="C80" i="5"/>
  <c r="C80" i="10" s="1"/>
  <c r="D80" i="5"/>
  <c r="B80" i="5"/>
  <c r="C79" i="5"/>
  <c r="C79" i="10" s="1"/>
  <c r="D79" i="5"/>
  <c r="B79" i="5"/>
  <c r="C76" i="5"/>
  <c r="D76" i="5"/>
  <c r="B76" i="5"/>
  <c r="C74" i="5"/>
  <c r="D74" i="5"/>
  <c r="B74" i="5"/>
  <c r="C71" i="5"/>
  <c r="C71" i="10" s="1"/>
  <c r="D71" i="5"/>
  <c r="B71" i="5"/>
  <c r="C78" i="5"/>
  <c r="D78" i="5"/>
  <c r="B78" i="5"/>
  <c r="C77" i="5"/>
  <c r="D77" i="5"/>
  <c r="B77" i="5"/>
  <c r="C73" i="5"/>
  <c r="D73" i="5"/>
  <c r="B73" i="5"/>
  <c r="C75" i="5"/>
  <c r="D75" i="5"/>
  <c r="B75" i="5"/>
  <c r="B70" i="5"/>
  <c r="C70" i="5"/>
  <c r="D70" i="5"/>
  <c r="C72" i="5"/>
  <c r="D72" i="5"/>
  <c r="B72" i="5"/>
  <c r="B52" i="5"/>
  <c r="B52" i="10" s="1"/>
  <c r="H74" i="4" a="1"/>
  <c r="H74" i="4" s="1"/>
  <c r="H70" i="4" a="1"/>
  <c r="H70" i="4" s="1"/>
  <c r="H69" i="4" a="1"/>
  <c r="H69" i="4" s="1"/>
  <c r="H68" i="4" a="1"/>
  <c r="H68" i="4" s="1"/>
  <c r="H66" i="4" a="1"/>
  <c r="H66" i="4" s="1"/>
  <c r="H65" i="4" a="1"/>
  <c r="H65" i="4" s="1"/>
  <c r="H64" i="4" a="1"/>
  <c r="H64" i="4" s="1"/>
  <c r="H62" i="4" a="1"/>
  <c r="H62" i="4" s="1"/>
  <c r="H60" i="4" a="1"/>
  <c r="H60" i="4" s="1"/>
  <c r="H59" i="4" a="1"/>
  <c r="H59" i="4" s="1"/>
  <c r="H57" i="4" a="1"/>
  <c r="H57" i="4" s="1"/>
  <c r="H56" i="4" a="1"/>
  <c r="H56" i="4" s="1"/>
  <c r="H54" i="4" a="1"/>
  <c r="H54" i="4" s="1"/>
  <c r="H75" i="4" a="1"/>
  <c r="H75" i="4" s="1"/>
  <c r="H73" i="4" a="1"/>
  <c r="H73" i="4" s="1"/>
  <c r="H50" i="4" a="1"/>
  <c r="H50" i="4" s="1"/>
  <c r="H49" i="4" a="1"/>
  <c r="H49" i="4" s="1"/>
  <c r="H48" i="4" a="1"/>
  <c r="H48" i="4" s="1"/>
  <c r="H47" i="4" a="1"/>
  <c r="H47" i="4" s="1"/>
  <c r="H46" i="4" a="1"/>
  <c r="H46" i="4" s="1"/>
  <c r="H45" i="4" a="1"/>
  <c r="H45" i="4" s="1"/>
  <c r="H44" i="4" a="1"/>
  <c r="H44" i="4" s="1"/>
  <c r="H43" i="4" a="1"/>
  <c r="H43" i="4" s="1"/>
  <c r="H42" i="4" a="1"/>
  <c r="H42" i="4" s="1"/>
  <c r="H41" i="4" a="1"/>
  <c r="H41" i="4" s="1"/>
  <c r="H40" i="4" a="1"/>
  <c r="H40" i="4" s="1"/>
  <c r="H39" i="4" a="1"/>
  <c r="H39" i="4" s="1"/>
  <c r="H36" i="4" a="1"/>
  <c r="H36" i="4" s="1"/>
  <c r="H35" i="4" a="1"/>
  <c r="H35" i="4" s="1"/>
  <c r="H34" i="4" a="1"/>
  <c r="H34" i="4" s="1"/>
  <c r="H33" i="4" a="1"/>
  <c r="H33" i="4" s="1"/>
  <c r="H32" i="4" a="1"/>
  <c r="H32" i="4" s="1"/>
  <c r="H31" i="4" a="1"/>
  <c r="H31" i="4" s="1"/>
  <c r="H30" i="4" a="1"/>
  <c r="H30" i="4" s="1"/>
  <c r="H29" i="4" a="1"/>
  <c r="H29" i="4" s="1"/>
  <c r="H28" i="4" a="1"/>
  <c r="H28" i="4" s="1"/>
  <c r="H27" i="4" a="1"/>
  <c r="H27" i="4" s="1"/>
  <c r="H26" i="4" a="1"/>
  <c r="H26" i="4" s="1"/>
  <c r="H25" i="4" a="1"/>
  <c r="H25" i="4" s="1"/>
  <c r="H24" i="4" a="1"/>
  <c r="H24" i="4" s="1"/>
  <c r="H23" i="4" a="1"/>
  <c r="H23" i="4" s="1"/>
  <c r="H22" i="4" a="1"/>
  <c r="H22" i="4" s="1"/>
  <c r="H21" i="4" a="1"/>
  <c r="H21" i="4" s="1"/>
  <c r="H20" i="4" a="1"/>
  <c r="H20" i="4" s="1"/>
  <c r="H19" i="4" a="1"/>
  <c r="H19" i="4" s="1"/>
  <c r="H18" i="4" a="1"/>
  <c r="H18" i="4" s="1"/>
  <c r="H17" i="4" a="1"/>
  <c r="H17" i="4" s="1"/>
  <c r="H16" i="4" a="1"/>
  <c r="H16" i="4" s="1"/>
  <c r="H15" i="4" a="1"/>
  <c r="H15" i="4" s="1"/>
  <c r="H14" i="4" a="1"/>
  <c r="H14" i="4" s="1"/>
  <c r="H13" i="4" a="1"/>
  <c r="H13" i="4" s="1"/>
  <c r="H12" i="4" a="1"/>
  <c r="H12" i="4" s="1"/>
  <c r="H11" i="4" a="1"/>
  <c r="H11" i="4" s="1"/>
  <c r="O53" i="5"/>
  <c r="N53" i="5"/>
  <c r="O52" i="5"/>
  <c r="N52" i="5"/>
  <c r="M53" i="5"/>
  <c r="M52" i="5"/>
  <c r="C75" i="10" l="1"/>
  <c r="C74" i="10"/>
  <c r="M54" i="10"/>
  <c r="N54" i="10"/>
  <c r="N83" i="5"/>
  <c r="N83" i="10" s="1"/>
  <c r="O83" i="5"/>
  <c r="C70" i="10"/>
  <c r="C76" i="10"/>
  <c r="B73" i="10"/>
  <c r="O82" i="5"/>
  <c r="M82" i="5"/>
  <c r="M82" i="10" s="1"/>
  <c r="M83" i="5"/>
  <c r="B87" i="10"/>
  <c r="N82" i="5"/>
  <c r="N82" i="10" s="1"/>
  <c r="O7" i="10"/>
  <c r="E87" i="5"/>
  <c r="B70" i="10"/>
  <c r="C78" i="10"/>
  <c r="B72" i="10"/>
  <c r="C72" i="10"/>
  <c r="B77" i="10"/>
  <c r="C73" i="10"/>
  <c r="C77" i="10"/>
  <c r="B78" i="10"/>
  <c r="E82" i="5"/>
  <c r="E83" i="5"/>
  <c r="E86" i="5"/>
  <c r="E85" i="5"/>
  <c r="E84" i="5"/>
  <c r="E73" i="5"/>
  <c r="E80" i="5"/>
  <c r="E77" i="5"/>
  <c r="D84" i="10"/>
  <c r="D86" i="10"/>
  <c r="C85" i="10"/>
  <c r="B75" i="10"/>
  <c r="E72" i="5"/>
  <c r="B74" i="10"/>
  <c r="E79" i="5"/>
  <c r="E78" i="5"/>
  <c r="B80" i="10"/>
  <c r="B79" i="10"/>
  <c r="B82" i="10"/>
  <c r="E76" i="5"/>
  <c r="E71" i="5"/>
  <c r="B71" i="10"/>
  <c r="B83" i="10"/>
  <c r="E75" i="5"/>
  <c r="E74" i="5"/>
  <c r="B76" i="10"/>
  <c r="M31" i="5"/>
  <c r="M31" i="10" s="1"/>
  <c r="M28" i="5"/>
  <c r="M27" i="5"/>
  <c r="N31" i="5"/>
  <c r="N31" i="10" s="1"/>
  <c r="N28" i="5"/>
  <c r="N27" i="5"/>
  <c r="O31" i="5"/>
  <c r="O28" i="5"/>
  <c r="O27" i="5"/>
  <c r="E70" i="5"/>
  <c r="H63" i="4" a="1"/>
  <c r="H63" i="4" s="1"/>
  <c r="H61" i="4" a="1"/>
  <c r="H61" i="4" s="1"/>
  <c r="D101" i="5"/>
  <c r="D100" i="5"/>
  <c r="D99" i="5"/>
  <c r="D98" i="5"/>
  <c r="D39" i="9"/>
  <c r="P74" i="4"/>
  <c r="P65" i="4"/>
  <c r="P62" i="4"/>
  <c r="P59" i="4"/>
  <c r="P45" i="4"/>
  <c r="P50" i="4"/>
  <c r="P49" i="4"/>
  <c r="P19" i="4"/>
  <c r="P18" i="4"/>
  <c r="B92" i="5"/>
  <c r="C54" i="5"/>
  <c r="D54" i="5"/>
  <c r="B126" i="5"/>
  <c r="B126" i="10" s="1"/>
  <c r="B122" i="5"/>
  <c r="D95" i="5"/>
  <c r="B95" i="5"/>
  <c r="D91" i="5"/>
  <c r="B91" i="5"/>
  <c r="C111" i="5"/>
  <c r="D111" i="5"/>
  <c r="B111" i="5"/>
  <c r="C110" i="5"/>
  <c r="D110" i="5"/>
  <c r="B110" i="5"/>
  <c r="C109" i="5"/>
  <c r="D109" i="5"/>
  <c r="B109" i="5"/>
  <c r="C106" i="5"/>
  <c r="D106" i="5"/>
  <c r="B106" i="5"/>
  <c r="C105" i="5"/>
  <c r="D105" i="5"/>
  <c r="B105" i="5"/>
  <c r="B105" i="10" s="1"/>
  <c r="C104" i="5"/>
  <c r="D104" i="5"/>
  <c r="B104" i="5"/>
  <c r="C10" i="5"/>
  <c r="D10" i="5"/>
  <c r="B10" i="5"/>
  <c r="C9" i="5"/>
  <c r="D9" i="5"/>
  <c r="B9" i="5"/>
  <c r="C127" i="5"/>
  <c r="C127" i="10" s="1"/>
  <c r="D127" i="5"/>
  <c r="B127" i="5"/>
  <c r="C126" i="5"/>
  <c r="D126" i="5"/>
  <c r="C66" i="5"/>
  <c r="D66" i="5"/>
  <c r="B66" i="5"/>
  <c r="C65" i="5"/>
  <c r="D65" i="5"/>
  <c r="B65" i="5"/>
  <c r="C64" i="5"/>
  <c r="D64" i="5"/>
  <c r="B64" i="5"/>
  <c r="C63" i="5"/>
  <c r="D63" i="5"/>
  <c r="B63" i="5"/>
  <c r="C62" i="5"/>
  <c r="D62" i="5"/>
  <c r="B62" i="5"/>
  <c r="C61" i="5"/>
  <c r="D61" i="5"/>
  <c r="B61" i="5"/>
  <c r="C60" i="5"/>
  <c r="D60" i="5"/>
  <c r="B60" i="5"/>
  <c r="C59" i="5"/>
  <c r="D59" i="5"/>
  <c r="B59" i="5"/>
  <c r="C58" i="5"/>
  <c r="D58" i="5"/>
  <c r="B58" i="5"/>
  <c r="C57" i="5"/>
  <c r="D57" i="5"/>
  <c r="B57" i="5"/>
  <c r="C56" i="5"/>
  <c r="D56" i="5"/>
  <c r="B56" i="5"/>
  <c r="C55" i="5"/>
  <c r="D55" i="5"/>
  <c r="B55" i="5"/>
  <c r="B54" i="5"/>
  <c r="N52" i="10"/>
  <c r="M52" i="10"/>
  <c r="C120" i="5"/>
  <c r="D120" i="5"/>
  <c r="B120" i="5"/>
  <c r="C119" i="5"/>
  <c r="D119" i="5"/>
  <c r="B119" i="5"/>
  <c r="B119" i="10" s="1"/>
  <c r="C117" i="5"/>
  <c r="D117" i="5"/>
  <c r="B117" i="5"/>
  <c r="C116" i="5"/>
  <c r="D116" i="5"/>
  <c r="B116" i="5"/>
  <c r="B116" i="10" s="1"/>
  <c r="C115" i="5"/>
  <c r="D115" i="5"/>
  <c r="B115" i="5"/>
  <c r="C114" i="5"/>
  <c r="D114" i="5"/>
  <c r="B114" i="5"/>
  <c r="O54" i="10" l="1"/>
  <c r="D70" i="10"/>
  <c r="D73" i="10"/>
  <c r="O82" i="10"/>
  <c r="D87" i="10"/>
  <c r="M83" i="10"/>
  <c r="D78" i="10"/>
  <c r="D77" i="10"/>
  <c r="D72" i="10"/>
  <c r="C61" i="10"/>
  <c r="B58" i="10"/>
  <c r="B64" i="10"/>
  <c r="B65" i="10"/>
  <c r="D82" i="10"/>
  <c r="D79" i="10"/>
  <c r="D80" i="10"/>
  <c r="D74" i="10"/>
  <c r="D76" i="10"/>
  <c r="D75" i="10"/>
  <c r="D85" i="10"/>
  <c r="D83" i="10"/>
  <c r="D71" i="10"/>
  <c r="O31" i="10"/>
  <c r="M30" i="5"/>
  <c r="M30" i="10" s="1"/>
  <c r="O30" i="5"/>
  <c r="N30" i="5"/>
  <c r="N30" i="10" s="1"/>
  <c r="M27" i="10"/>
  <c r="N27" i="10"/>
  <c r="M28" i="10"/>
  <c r="N28" i="10"/>
  <c r="M29" i="5"/>
  <c r="M29" i="10" s="1"/>
  <c r="N29" i="5"/>
  <c r="N29" i="10" s="1"/>
  <c r="O29" i="5"/>
  <c r="B101" i="5"/>
  <c r="B100" i="5"/>
  <c r="B99" i="5"/>
  <c r="B98" i="5"/>
  <c r="C101" i="5"/>
  <c r="C100" i="5"/>
  <c r="C99" i="5"/>
  <c r="C98" i="5"/>
  <c r="E111" i="5"/>
  <c r="E110" i="5"/>
  <c r="C54" i="10"/>
  <c r="M53" i="10"/>
  <c r="B115" i="10"/>
  <c r="C120" i="10"/>
  <c r="B55" i="10"/>
  <c r="B59" i="10"/>
  <c r="C59" i="10"/>
  <c r="B60" i="10"/>
  <c r="C63" i="10"/>
  <c r="C64" i="10"/>
  <c r="B9" i="10"/>
  <c r="C10" i="10"/>
  <c r="E106" i="5"/>
  <c r="B106" i="10"/>
  <c r="C106" i="10"/>
  <c r="E109" i="5"/>
  <c r="B117" i="10"/>
  <c r="B54" i="10"/>
  <c r="C117" i="10"/>
  <c r="B120" i="10"/>
  <c r="B56" i="10"/>
  <c r="C60" i="10"/>
  <c r="C55" i="10"/>
  <c r="C114" i="10"/>
  <c r="C65" i="10"/>
  <c r="C119" i="10"/>
  <c r="B61" i="10"/>
  <c r="C58" i="10"/>
  <c r="C115" i="10"/>
  <c r="B57" i="10"/>
  <c r="B62" i="10"/>
  <c r="C62" i="10"/>
  <c r="C126" i="10"/>
  <c r="C104" i="10"/>
  <c r="C57" i="10"/>
  <c r="B63" i="10"/>
  <c r="B127" i="10"/>
  <c r="E105" i="5"/>
  <c r="B114" i="10"/>
  <c r="C116" i="10"/>
  <c r="D116" i="10" s="1"/>
  <c r="N53" i="10"/>
  <c r="C105" i="10"/>
  <c r="D105" i="10" s="1"/>
  <c r="C66" i="10"/>
  <c r="C9" i="10"/>
  <c r="E104" i="5"/>
  <c r="B104" i="10"/>
  <c r="B10" i="10"/>
  <c r="B66" i="10"/>
  <c r="C56" i="10"/>
  <c r="B109" i="10"/>
  <c r="C109" i="10"/>
  <c r="B110" i="10"/>
  <c r="C110" i="10"/>
  <c r="B111" i="10"/>
  <c r="C111" i="10"/>
  <c r="E9" i="5"/>
  <c r="E10" i="5"/>
  <c r="E126" i="5"/>
  <c r="E127" i="5"/>
  <c r="E114" i="5"/>
  <c r="E115" i="5"/>
  <c r="E116" i="5"/>
  <c r="E117" i="5"/>
  <c r="E119" i="5"/>
  <c r="E120" i="5"/>
  <c r="C123" i="5"/>
  <c r="D123" i="5"/>
  <c r="B123" i="5"/>
  <c r="C122" i="5"/>
  <c r="D122" i="5"/>
  <c r="C47" i="5"/>
  <c r="D47" i="5"/>
  <c r="C48" i="5"/>
  <c r="D48" i="5"/>
  <c r="C49" i="5"/>
  <c r="D49" i="5"/>
  <c r="B49" i="5"/>
  <c r="B48" i="5"/>
  <c r="B47" i="5"/>
  <c r="C46" i="5"/>
  <c r="D46" i="5"/>
  <c r="B46" i="5"/>
  <c r="C45" i="5"/>
  <c r="N45" i="5" s="1"/>
  <c r="D45" i="5"/>
  <c r="O45" i="5" s="1"/>
  <c r="B45" i="5"/>
  <c r="M45" i="5" s="1"/>
  <c r="C42" i="5"/>
  <c r="D42" i="5"/>
  <c r="B42" i="5"/>
  <c r="C41" i="5"/>
  <c r="D41" i="5"/>
  <c r="B41" i="5"/>
  <c r="C43" i="5"/>
  <c r="D43" i="5"/>
  <c r="B43" i="5"/>
  <c r="C40" i="5"/>
  <c r="D40" i="5"/>
  <c r="B40" i="5"/>
  <c r="C39" i="5"/>
  <c r="D39" i="5"/>
  <c r="B39" i="5"/>
  <c r="C38" i="5"/>
  <c r="D38" i="5"/>
  <c r="B38" i="5"/>
  <c r="C37" i="5"/>
  <c r="D37" i="5"/>
  <c r="B37" i="5"/>
  <c r="C36" i="5"/>
  <c r="D36" i="5"/>
  <c r="B36" i="5"/>
  <c r="C35" i="5"/>
  <c r="D35" i="5"/>
  <c r="B35" i="5"/>
  <c r="C34" i="5"/>
  <c r="D34" i="5"/>
  <c r="B34" i="5"/>
  <c r="C33" i="5"/>
  <c r="D33" i="5"/>
  <c r="B33" i="5"/>
  <c r="C32" i="5"/>
  <c r="D32" i="5"/>
  <c r="B32" i="5"/>
  <c r="C31" i="5"/>
  <c r="D31" i="5"/>
  <c r="B31" i="5"/>
  <c r="C30" i="5"/>
  <c r="D30" i="5"/>
  <c r="B30" i="5"/>
  <c r="C29" i="5"/>
  <c r="D29" i="5"/>
  <c r="B29" i="5"/>
  <c r="C28" i="5"/>
  <c r="D28" i="5"/>
  <c r="B28" i="5"/>
  <c r="C27" i="5"/>
  <c r="D27" i="5"/>
  <c r="B27" i="5"/>
  <c r="O21" i="5"/>
  <c r="N21" i="5"/>
  <c r="N21" i="10" s="1"/>
  <c r="M21" i="5"/>
  <c r="M21" i="10" s="1"/>
  <c r="E54" i="5"/>
  <c r="C53" i="5"/>
  <c r="D53" i="5"/>
  <c r="B53" i="5"/>
  <c r="C52" i="5"/>
  <c r="D52" i="5"/>
  <c r="C67" i="5"/>
  <c r="D67" i="5"/>
  <c r="B67" i="5"/>
  <c r="B15" i="5"/>
  <c r="C124" i="5"/>
  <c r="D124" i="5"/>
  <c r="B124" i="5"/>
  <c r="C24" i="5"/>
  <c r="D24" i="5"/>
  <c r="B24" i="5"/>
  <c r="C23" i="5"/>
  <c r="D23" i="5"/>
  <c r="B23" i="5"/>
  <c r="C22" i="5"/>
  <c r="D22" i="5"/>
  <c r="B22" i="5"/>
  <c r="C21" i="5"/>
  <c r="D21" i="5"/>
  <c r="B21" i="5"/>
  <c r="C19" i="5"/>
  <c r="D19" i="5"/>
  <c r="B19" i="5"/>
  <c r="C18" i="5"/>
  <c r="D18" i="5"/>
  <c r="B18" i="5"/>
  <c r="C17" i="5"/>
  <c r="D17" i="5"/>
  <c r="B17" i="5"/>
  <c r="C16" i="5"/>
  <c r="D16" i="5"/>
  <c r="B16" i="5"/>
  <c r="C15" i="5"/>
  <c r="D15" i="5"/>
  <c r="B14" i="5"/>
  <c r="C14" i="5"/>
  <c r="D14" i="5"/>
  <c r="C13" i="5"/>
  <c r="D13" i="5"/>
  <c r="C12" i="5"/>
  <c r="D12" i="5"/>
  <c r="B12" i="5"/>
  <c r="B13" i="5"/>
  <c r="B130" i="5"/>
  <c r="C139" i="5"/>
  <c r="D139" i="5"/>
  <c r="B139" i="5"/>
  <c r="C7" i="5"/>
  <c r="D7" i="5"/>
  <c r="B7" i="5"/>
  <c r="C135" i="5"/>
  <c r="D135" i="5"/>
  <c r="B135" i="5"/>
  <c r="C143" i="5"/>
  <c r="D143" i="5"/>
  <c r="B143" i="5"/>
  <c r="D92" i="5"/>
  <c r="B93" i="5"/>
  <c r="D93" i="5"/>
  <c r="B90" i="5"/>
  <c r="D90" i="5"/>
  <c r="B94" i="5"/>
  <c r="D94" i="5"/>
  <c r="D130" i="5"/>
  <c r="B142" i="5"/>
  <c r="C130" i="5"/>
  <c r="C133" i="5"/>
  <c r="D133" i="5"/>
  <c r="B133" i="5"/>
  <c r="D134" i="5"/>
  <c r="C134" i="5"/>
  <c r="B134" i="5"/>
  <c r="D132" i="5"/>
  <c r="C132" i="5"/>
  <c r="B132" i="5"/>
  <c r="D131" i="5"/>
  <c r="C131" i="5"/>
  <c r="B131" i="5"/>
  <c r="D142" i="5"/>
  <c r="C142" i="5"/>
  <c r="D141" i="5"/>
  <c r="O133" i="5" s="1"/>
  <c r="C141" i="5"/>
  <c r="N133" i="5" s="1"/>
  <c r="N133" i="10" s="1"/>
  <c r="B141" i="5"/>
  <c r="M133" i="5" s="1"/>
  <c r="M133" i="10" s="1"/>
  <c r="D140" i="5"/>
  <c r="C140" i="5"/>
  <c r="B140" i="5"/>
  <c r="D138" i="5"/>
  <c r="C138" i="5"/>
  <c r="B138" i="5"/>
  <c r="D137" i="5"/>
  <c r="C137" i="5"/>
  <c r="B137" i="5"/>
  <c r="C136" i="5"/>
  <c r="D136" i="5"/>
  <c r="B136" i="5"/>
  <c r="E55" i="5"/>
  <c r="E56" i="5"/>
  <c r="E57" i="5"/>
  <c r="E58" i="5"/>
  <c r="E59" i="5"/>
  <c r="E60" i="5"/>
  <c r="E61" i="5"/>
  <c r="E62" i="5"/>
  <c r="E63" i="5"/>
  <c r="E64" i="5"/>
  <c r="E65" i="5"/>
  <c r="E66" i="5"/>
  <c r="J87" i="5" l="1"/>
  <c r="T54" i="5"/>
  <c r="I87" i="5"/>
  <c r="S54" i="5"/>
  <c r="H87" i="5"/>
  <c r="R54" i="5"/>
  <c r="O83" i="10"/>
  <c r="H62" i="5"/>
  <c r="R82" i="5"/>
  <c r="J56" i="5"/>
  <c r="T82" i="5"/>
  <c r="T83" i="5"/>
  <c r="I58" i="5"/>
  <c r="S83" i="5"/>
  <c r="S82" i="5"/>
  <c r="R83" i="5"/>
  <c r="C98" i="10"/>
  <c r="I98" i="5"/>
  <c r="C99" i="10"/>
  <c r="I99" i="5"/>
  <c r="C100" i="10"/>
  <c r="I100" i="5"/>
  <c r="C101" i="10"/>
  <c r="I101" i="5"/>
  <c r="B98" i="10"/>
  <c r="H98" i="5"/>
  <c r="J101" i="5"/>
  <c r="B99" i="10"/>
  <c r="H99" i="5"/>
  <c r="J100" i="5"/>
  <c r="B100" i="10"/>
  <c r="H100" i="5"/>
  <c r="J99" i="5"/>
  <c r="B101" i="10"/>
  <c r="H101" i="5"/>
  <c r="J98" i="5"/>
  <c r="D58" i="10"/>
  <c r="H65" i="5"/>
  <c r="I52" i="5"/>
  <c r="H53" i="5"/>
  <c r="J65" i="5"/>
  <c r="J59" i="5"/>
  <c r="J62" i="5"/>
  <c r="J53" i="5"/>
  <c r="J60" i="5"/>
  <c r="H54" i="5"/>
  <c r="I57" i="5"/>
  <c r="I53" i="5"/>
  <c r="I55" i="5"/>
  <c r="I63" i="5"/>
  <c r="I66" i="5"/>
  <c r="I60" i="5"/>
  <c r="H59" i="5"/>
  <c r="J54" i="5"/>
  <c r="J63" i="5"/>
  <c r="J57" i="5"/>
  <c r="R31" i="5"/>
  <c r="H85" i="5"/>
  <c r="H82" i="5"/>
  <c r="H73" i="5"/>
  <c r="H79" i="5"/>
  <c r="H84" i="5"/>
  <c r="H71" i="5"/>
  <c r="H77" i="5"/>
  <c r="H75" i="5"/>
  <c r="H83" i="5"/>
  <c r="H74" i="5"/>
  <c r="H72" i="5"/>
  <c r="H80" i="5"/>
  <c r="H76" i="5"/>
  <c r="H86" i="5"/>
  <c r="H52" i="5"/>
  <c r="H70" i="5"/>
  <c r="H78" i="5"/>
  <c r="I64" i="5"/>
  <c r="J78" i="5"/>
  <c r="J74" i="5"/>
  <c r="J86" i="5"/>
  <c r="J84" i="5"/>
  <c r="J75" i="5"/>
  <c r="J83" i="5"/>
  <c r="J76" i="5"/>
  <c r="J77" i="5"/>
  <c r="J73" i="5"/>
  <c r="J72" i="5"/>
  <c r="J71" i="5"/>
  <c r="J80" i="5"/>
  <c r="J79" i="5"/>
  <c r="J85" i="5"/>
  <c r="J70" i="5"/>
  <c r="J82" i="5"/>
  <c r="H60" i="5"/>
  <c r="H61" i="5"/>
  <c r="J66" i="5"/>
  <c r="S31" i="5"/>
  <c r="I85" i="5"/>
  <c r="I86" i="5"/>
  <c r="I75" i="5"/>
  <c r="I72" i="5"/>
  <c r="I77" i="5"/>
  <c r="I80" i="5"/>
  <c r="I84" i="5"/>
  <c r="I71" i="5"/>
  <c r="I76" i="5"/>
  <c r="I82" i="5"/>
  <c r="I78" i="5"/>
  <c r="I73" i="5"/>
  <c r="I70" i="5"/>
  <c r="I79" i="5"/>
  <c r="I83" i="5"/>
  <c r="I74" i="5"/>
  <c r="D65" i="10"/>
  <c r="J55" i="5"/>
  <c r="H63" i="5"/>
  <c r="I61" i="5"/>
  <c r="D64" i="10"/>
  <c r="H56" i="5"/>
  <c r="J58" i="5"/>
  <c r="H67" i="5"/>
  <c r="J64" i="5"/>
  <c r="I62" i="5"/>
  <c r="H57" i="5"/>
  <c r="J67" i="5"/>
  <c r="I59" i="5"/>
  <c r="H58" i="5"/>
  <c r="H66" i="5"/>
  <c r="I67" i="5"/>
  <c r="H55" i="5"/>
  <c r="J61" i="5"/>
  <c r="J52" i="5"/>
  <c r="I54" i="5"/>
  <c r="H64" i="5"/>
  <c r="I65" i="5"/>
  <c r="I56" i="5"/>
  <c r="J104" i="5"/>
  <c r="T31" i="5"/>
  <c r="T45" i="5"/>
  <c r="R45" i="5"/>
  <c r="M45" i="10"/>
  <c r="S45" i="5"/>
  <c r="N45" i="10"/>
  <c r="M46" i="5"/>
  <c r="O46" i="5"/>
  <c r="T46" i="5" s="1"/>
  <c r="N46" i="5"/>
  <c r="E100" i="5"/>
  <c r="E101" i="5"/>
  <c r="T28" i="5"/>
  <c r="T27" i="5"/>
  <c r="S27" i="5"/>
  <c r="R27" i="5"/>
  <c r="S28" i="5"/>
  <c r="S30" i="5"/>
  <c r="R28" i="5"/>
  <c r="R30" i="5"/>
  <c r="R29" i="5"/>
  <c r="T29" i="5"/>
  <c r="S29" i="5"/>
  <c r="T30" i="5"/>
  <c r="E98" i="5"/>
  <c r="E99" i="5"/>
  <c r="D59" i="10"/>
  <c r="O53" i="10"/>
  <c r="M132" i="5"/>
  <c r="O132" i="5"/>
  <c r="T132" i="5" s="1"/>
  <c r="E42" i="5"/>
  <c r="N132" i="5"/>
  <c r="E16" i="5"/>
  <c r="E17" i="5"/>
  <c r="E18" i="5"/>
  <c r="E19" i="5"/>
  <c r="D60" i="10"/>
  <c r="D9" i="10"/>
  <c r="D106" i="10"/>
  <c r="E13" i="5"/>
  <c r="E14" i="5"/>
  <c r="E15" i="5"/>
  <c r="C95" i="5"/>
  <c r="C91" i="5"/>
  <c r="C91" i="10" s="1"/>
  <c r="I109" i="5"/>
  <c r="C13" i="10"/>
  <c r="B35" i="10"/>
  <c r="C39" i="10"/>
  <c r="B45" i="10"/>
  <c r="C47" i="10"/>
  <c r="D63" i="10"/>
  <c r="C132" i="10"/>
  <c r="C135" i="10"/>
  <c r="B19" i="10"/>
  <c r="C24" i="10"/>
  <c r="C30" i="10"/>
  <c r="B40" i="10"/>
  <c r="J111" i="5"/>
  <c r="J105" i="5"/>
  <c r="B140" i="10"/>
  <c r="B134" i="10"/>
  <c r="B95" i="10"/>
  <c r="H106" i="5"/>
  <c r="B7" i="10"/>
  <c r="R54" i="10" s="1"/>
  <c r="H104" i="5"/>
  <c r="C14" i="10"/>
  <c r="B124" i="10"/>
  <c r="B31" i="10"/>
  <c r="C35" i="10"/>
  <c r="C45" i="10"/>
  <c r="C122" i="10"/>
  <c r="D117" i="10"/>
  <c r="C138" i="10"/>
  <c r="C134" i="10"/>
  <c r="J10" i="5"/>
  <c r="J106" i="5"/>
  <c r="C19" i="10"/>
  <c r="B36" i="10"/>
  <c r="C40" i="10"/>
  <c r="B46" i="10"/>
  <c r="B123" i="10"/>
  <c r="H111" i="5"/>
  <c r="D114" i="10"/>
  <c r="C18" i="10"/>
  <c r="C140" i="10"/>
  <c r="B14" i="10"/>
  <c r="B90" i="10"/>
  <c r="C7" i="10"/>
  <c r="S54" i="10" s="1"/>
  <c r="I106" i="5"/>
  <c r="I104" i="5"/>
  <c r="B21" i="10"/>
  <c r="C124" i="10"/>
  <c r="B27" i="10"/>
  <c r="C31" i="10"/>
  <c r="B43" i="10"/>
  <c r="B94" i="10"/>
  <c r="B141" i="10"/>
  <c r="B139" i="10"/>
  <c r="C15" i="10"/>
  <c r="B15" i="10"/>
  <c r="B32" i="10"/>
  <c r="C36" i="10"/>
  <c r="C46" i="10"/>
  <c r="C123" i="10"/>
  <c r="H109" i="5"/>
  <c r="I105" i="5"/>
  <c r="D62" i="10"/>
  <c r="D56" i="10"/>
  <c r="C141" i="10"/>
  <c r="B133" i="10"/>
  <c r="B93" i="10"/>
  <c r="B16" i="10"/>
  <c r="C21" i="10"/>
  <c r="B67" i="10"/>
  <c r="C27" i="10"/>
  <c r="B37" i="10"/>
  <c r="C43" i="10"/>
  <c r="B47" i="10"/>
  <c r="B122" i="10"/>
  <c r="J110" i="5"/>
  <c r="B22" i="10"/>
  <c r="B28" i="10"/>
  <c r="C32" i="10"/>
  <c r="B41" i="10"/>
  <c r="B48" i="10"/>
  <c r="I110" i="5"/>
  <c r="D115" i="10"/>
  <c r="C133" i="10"/>
  <c r="B92" i="10"/>
  <c r="B130" i="10"/>
  <c r="C16" i="10"/>
  <c r="C67" i="10"/>
  <c r="B33" i="10"/>
  <c r="C37" i="10"/>
  <c r="B49" i="10"/>
  <c r="D10" i="10"/>
  <c r="D120" i="10"/>
  <c r="D126" i="10"/>
  <c r="C139" i="10"/>
  <c r="C130" i="10"/>
  <c r="B13" i="10"/>
  <c r="B17" i="10"/>
  <c r="C22" i="10"/>
  <c r="C28" i="10"/>
  <c r="B38" i="10"/>
  <c r="C41" i="10"/>
  <c r="D104" i="10"/>
  <c r="H105" i="5"/>
  <c r="O52" i="10"/>
  <c r="B136" i="10"/>
  <c r="B142" i="10"/>
  <c r="B143" i="10"/>
  <c r="B12" i="10"/>
  <c r="B23" i="10"/>
  <c r="C52" i="10"/>
  <c r="B29" i="10"/>
  <c r="C33" i="10"/>
  <c r="B42" i="10"/>
  <c r="C49" i="10"/>
  <c r="C142" i="10"/>
  <c r="B131" i="10"/>
  <c r="C17" i="10"/>
  <c r="B53" i="10"/>
  <c r="B34" i="10"/>
  <c r="C38" i="10"/>
  <c r="H110" i="5"/>
  <c r="D127" i="10"/>
  <c r="D55" i="10"/>
  <c r="D54" i="10"/>
  <c r="C136" i="10"/>
  <c r="C137" i="10"/>
  <c r="C131" i="10"/>
  <c r="C143" i="10"/>
  <c r="C12" i="10"/>
  <c r="B18" i="10"/>
  <c r="C23" i="10"/>
  <c r="C29" i="10"/>
  <c r="B39" i="10"/>
  <c r="C48" i="10"/>
  <c r="D66" i="10"/>
  <c r="D119" i="10"/>
  <c r="B137" i="10"/>
  <c r="B138" i="10"/>
  <c r="B132" i="10"/>
  <c r="B91" i="10"/>
  <c r="B135" i="10"/>
  <c r="B24" i="10"/>
  <c r="C53" i="10"/>
  <c r="B30" i="10"/>
  <c r="C34" i="10"/>
  <c r="C42" i="10"/>
  <c r="I111" i="5"/>
  <c r="J109" i="5"/>
  <c r="D57" i="10"/>
  <c r="D61" i="10"/>
  <c r="D111" i="10"/>
  <c r="D110" i="10"/>
  <c r="D109" i="10"/>
  <c r="H9" i="5"/>
  <c r="I10" i="5"/>
  <c r="H10" i="5"/>
  <c r="J9" i="5"/>
  <c r="I9" i="5"/>
  <c r="H126" i="5"/>
  <c r="H127" i="5"/>
  <c r="I126" i="5"/>
  <c r="I127" i="5"/>
  <c r="T52" i="5"/>
  <c r="J126" i="5"/>
  <c r="J127" i="5"/>
  <c r="R53" i="5"/>
  <c r="S53" i="5"/>
  <c r="T53" i="5"/>
  <c r="S52" i="5"/>
  <c r="R52" i="5"/>
  <c r="H114" i="5"/>
  <c r="H115" i="5"/>
  <c r="H116" i="5"/>
  <c r="H117" i="5"/>
  <c r="H119" i="5"/>
  <c r="H120" i="5"/>
  <c r="I114" i="5"/>
  <c r="I115" i="5"/>
  <c r="I116" i="5"/>
  <c r="I117" i="5"/>
  <c r="I119" i="5"/>
  <c r="I120" i="5"/>
  <c r="J114" i="5"/>
  <c r="J115" i="5"/>
  <c r="J116" i="5"/>
  <c r="J117" i="5"/>
  <c r="J119" i="5"/>
  <c r="J120" i="5"/>
  <c r="I17" i="5"/>
  <c r="E52" i="5"/>
  <c r="J28" i="5"/>
  <c r="J91" i="5"/>
  <c r="I19" i="5"/>
  <c r="E39" i="5"/>
  <c r="H33" i="5"/>
  <c r="H18" i="5"/>
  <c r="H30" i="5"/>
  <c r="H94" i="5"/>
  <c r="J37" i="5"/>
  <c r="J29" i="5"/>
  <c r="J131" i="5"/>
  <c r="J32" i="5"/>
  <c r="J19" i="5"/>
  <c r="H38" i="5"/>
  <c r="I132" i="5"/>
  <c r="H28" i="5"/>
  <c r="H29" i="5"/>
  <c r="J94" i="5"/>
  <c r="H14" i="5"/>
  <c r="H136" i="5"/>
  <c r="J136" i="5"/>
  <c r="J140" i="5"/>
  <c r="H90" i="5"/>
  <c r="J132" i="5"/>
  <c r="J34" i="5"/>
  <c r="J123" i="5"/>
  <c r="I34" i="5"/>
  <c r="I13" i="5"/>
  <c r="I32" i="5"/>
  <c r="I37" i="5"/>
  <c r="I15" i="5"/>
  <c r="I30" i="5"/>
  <c r="J12" i="5"/>
  <c r="J38" i="5"/>
  <c r="E35" i="5"/>
  <c r="I18" i="5"/>
  <c r="E53" i="5"/>
  <c r="J16" i="5"/>
  <c r="J35" i="5"/>
  <c r="E34" i="5"/>
  <c r="I133" i="5"/>
  <c r="I122" i="5"/>
  <c r="I39" i="5"/>
  <c r="I16" i="5"/>
  <c r="I31" i="5"/>
  <c r="I123" i="5"/>
  <c r="I40" i="5"/>
  <c r="E12" i="5"/>
  <c r="I136" i="5"/>
  <c r="I141" i="5"/>
  <c r="I12" i="5"/>
  <c r="I134" i="5"/>
  <c r="H36" i="5"/>
  <c r="J13" i="5"/>
  <c r="H17" i="5"/>
  <c r="H39" i="5"/>
  <c r="E46" i="5"/>
  <c r="I38" i="5"/>
  <c r="E47" i="5"/>
  <c r="H19" i="5"/>
  <c r="E48" i="5"/>
  <c r="E49" i="5"/>
  <c r="I28" i="5"/>
  <c r="I14" i="5"/>
  <c r="I138" i="5"/>
  <c r="I131" i="5"/>
  <c r="J138" i="5"/>
  <c r="I35" i="5"/>
  <c r="J15" i="5"/>
  <c r="I33" i="5"/>
  <c r="E37" i="5"/>
  <c r="E45" i="5"/>
  <c r="H35" i="5"/>
  <c r="H40" i="5"/>
  <c r="H123" i="5"/>
  <c r="H140" i="5"/>
  <c r="H16" i="5"/>
  <c r="H34" i="5"/>
  <c r="I140" i="5"/>
  <c r="H132" i="5"/>
  <c r="I27" i="5"/>
  <c r="H91" i="5"/>
  <c r="H15" i="5"/>
  <c r="E67" i="5"/>
  <c r="I29" i="5"/>
  <c r="I36" i="5"/>
  <c r="E40" i="5"/>
  <c r="H37" i="5"/>
  <c r="H13" i="5"/>
  <c r="J141" i="5"/>
  <c r="H31" i="5"/>
  <c r="H12" i="5"/>
  <c r="H122" i="5"/>
  <c r="J31" i="5"/>
  <c r="E38" i="5"/>
  <c r="E36" i="5"/>
  <c r="H138" i="5"/>
  <c r="H32" i="5"/>
  <c r="J40" i="5"/>
  <c r="J18" i="5"/>
  <c r="H141" i="5"/>
  <c r="J92" i="5"/>
  <c r="J93" i="5"/>
  <c r="E33" i="5"/>
  <c r="H93" i="5"/>
  <c r="E29" i="5"/>
  <c r="E32" i="5"/>
  <c r="E30" i="5"/>
  <c r="H92" i="5"/>
  <c r="J90" i="5"/>
  <c r="H135" i="5"/>
  <c r="I135" i="5"/>
  <c r="M22" i="5"/>
  <c r="N22" i="5"/>
  <c r="J134" i="5"/>
  <c r="J14" i="5"/>
  <c r="J17" i="5"/>
  <c r="J122" i="5"/>
  <c r="J39" i="5"/>
  <c r="J36" i="5"/>
  <c r="J33" i="5"/>
  <c r="J30" i="5"/>
  <c r="J133" i="5"/>
  <c r="E28" i="5"/>
  <c r="E31" i="5"/>
  <c r="J41" i="5"/>
  <c r="H42" i="5"/>
  <c r="E43" i="5"/>
  <c r="H43" i="5"/>
  <c r="I43" i="5"/>
  <c r="J43" i="5"/>
  <c r="E41" i="5"/>
  <c r="H41" i="5"/>
  <c r="I41" i="5"/>
  <c r="J42" i="5"/>
  <c r="I42" i="5"/>
  <c r="H45" i="5"/>
  <c r="J45" i="5"/>
  <c r="I45" i="5"/>
  <c r="H46" i="5"/>
  <c r="J46" i="5"/>
  <c r="I46" i="5"/>
  <c r="H47" i="5"/>
  <c r="H48" i="5"/>
  <c r="H49" i="5"/>
  <c r="J49" i="5"/>
  <c r="I49" i="5"/>
  <c r="J48" i="5"/>
  <c r="I48" i="5"/>
  <c r="J47" i="5"/>
  <c r="I47" i="5"/>
  <c r="E123" i="5"/>
  <c r="J143" i="5"/>
  <c r="E27" i="5"/>
  <c r="E23" i="5"/>
  <c r="J27" i="5"/>
  <c r="H27" i="5"/>
  <c r="O22" i="5"/>
  <c r="T22" i="5" s="1"/>
  <c r="E24" i="5"/>
  <c r="I143" i="5"/>
  <c r="R21" i="5"/>
  <c r="S21" i="5"/>
  <c r="T21" i="5"/>
  <c r="E124" i="5"/>
  <c r="H124" i="5"/>
  <c r="J124" i="5"/>
  <c r="I124" i="5"/>
  <c r="E21" i="5"/>
  <c r="H21" i="5"/>
  <c r="J21" i="5"/>
  <c r="I21" i="5"/>
  <c r="E22" i="5"/>
  <c r="H22" i="5"/>
  <c r="J22" i="5"/>
  <c r="I22" i="5"/>
  <c r="H23" i="5"/>
  <c r="J23" i="5"/>
  <c r="I23" i="5"/>
  <c r="H24" i="5"/>
  <c r="J24" i="5"/>
  <c r="I24" i="5"/>
  <c r="J95" i="5"/>
  <c r="J135" i="5"/>
  <c r="E7" i="5"/>
  <c r="E135" i="5"/>
  <c r="E122" i="5"/>
  <c r="C92" i="5"/>
  <c r="C93" i="5"/>
  <c r="C90" i="5"/>
  <c r="C94" i="5"/>
  <c r="M130" i="5"/>
  <c r="M131" i="5"/>
  <c r="H137" i="5"/>
  <c r="N131" i="5"/>
  <c r="I137" i="5"/>
  <c r="O131" i="5"/>
  <c r="T131" i="5" s="1"/>
  <c r="J137" i="5"/>
  <c r="N134" i="5"/>
  <c r="I142" i="5"/>
  <c r="O134" i="5"/>
  <c r="T134" i="5" s="1"/>
  <c r="J142" i="5"/>
  <c r="I130" i="5"/>
  <c r="N130" i="5"/>
  <c r="M134" i="5"/>
  <c r="H142" i="5"/>
  <c r="J130" i="5"/>
  <c r="O130" i="5"/>
  <c r="T130" i="5" s="1"/>
  <c r="E143" i="5"/>
  <c r="H143" i="5"/>
  <c r="E139" i="5"/>
  <c r="R133" i="5"/>
  <c r="H139" i="5"/>
  <c r="T133" i="5"/>
  <c r="J139" i="5"/>
  <c r="S133" i="5"/>
  <c r="I139" i="5"/>
  <c r="E142" i="5"/>
  <c r="E136" i="5"/>
  <c r="E137" i="5"/>
  <c r="E138" i="5"/>
  <c r="E140" i="5"/>
  <c r="E141" i="5"/>
  <c r="H131" i="5"/>
  <c r="E131" i="5"/>
  <c r="E132" i="5"/>
  <c r="H134" i="5"/>
  <c r="E134" i="5"/>
  <c r="H133" i="5"/>
  <c r="E133" i="5"/>
  <c r="H130" i="5"/>
  <c r="E130" i="5"/>
  <c r="H95" i="5"/>
  <c r="T54" i="10" l="1"/>
  <c r="R82" i="10"/>
  <c r="G87" i="10"/>
  <c r="H87" i="10"/>
  <c r="S83" i="10"/>
  <c r="S82" i="10"/>
  <c r="R83" i="10"/>
  <c r="D98" i="10"/>
  <c r="D99" i="10"/>
  <c r="D101" i="10"/>
  <c r="D100" i="10"/>
  <c r="S31" i="10"/>
  <c r="H77" i="10"/>
  <c r="H71" i="10"/>
  <c r="H78" i="10"/>
  <c r="H72" i="10"/>
  <c r="H86" i="10"/>
  <c r="H80" i="10"/>
  <c r="H73" i="10"/>
  <c r="H74" i="10"/>
  <c r="H82" i="10"/>
  <c r="H75" i="10"/>
  <c r="H83" i="10"/>
  <c r="H84" i="10"/>
  <c r="H76" i="10"/>
  <c r="H79" i="10"/>
  <c r="H70" i="10"/>
  <c r="H85" i="10"/>
  <c r="G84" i="10"/>
  <c r="G73" i="10"/>
  <c r="G85" i="10"/>
  <c r="G86" i="10"/>
  <c r="G77" i="10"/>
  <c r="G70" i="10"/>
  <c r="G78" i="10"/>
  <c r="G72" i="10"/>
  <c r="G83" i="10"/>
  <c r="G82" i="10"/>
  <c r="G79" i="10"/>
  <c r="G71" i="10"/>
  <c r="G80" i="10"/>
  <c r="G74" i="10"/>
  <c r="G76" i="10"/>
  <c r="G75" i="10"/>
  <c r="R28" i="10"/>
  <c r="R31" i="10"/>
  <c r="R29" i="10"/>
  <c r="R132" i="5"/>
  <c r="M132" i="10"/>
  <c r="R132" i="10" s="1"/>
  <c r="H100" i="10"/>
  <c r="S30" i="10"/>
  <c r="R22" i="5"/>
  <c r="M22" i="10"/>
  <c r="S28" i="10"/>
  <c r="S130" i="5"/>
  <c r="N130" i="10"/>
  <c r="S130" i="10" s="1"/>
  <c r="S134" i="5"/>
  <c r="N134" i="10"/>
  <c r="S134" i="10" s="1"/>
  <c r="R134" i="5"/>
  <c r="M134" i="10"/>
  <c r="R134" i="10" s="1"/>
  <c r="S29" i="10"/>
  <c r="S46" i="5"/>
  <c r="N46" i="10"/>
  <c r="S46" i="10" s="1"/>
  <c r="R131" i="5"/>
  <c r="M131" i="10"/>
  <c r="R131" i="10" s="1"/>
  <c r="S132" i="5"/>
  <c r="N132" i="10"/>
  <c r="S132" i="10" s="1"/>
  <c r="S22" i="5"/>
  <c r="N22" i="10"/>
  <c r="S22" i="10" s="1"/>
  <c r="S131" i="5"/>
  <c r="N131" i="10"/>
  <c r="S131" i="10" s="1"/>
  <c r="R130" i="5"/>
  <c r="M130" i="10"/>
  <c r="M46" i="10"/>
  <c r="R46" i="5"/>
  <c r="G99" i="10"/>
  <c r="R30" i="10"/>
  <c r="S27" i="10"/>
  <c r="G100" i="10"/>
  <c r="H101" i="10"/>
  <c r="G101" i="10"/>
  <c r="G98" i="10"/>
  <c r="H98" i="10"/>
  <c r="H99" i="10"/>
  <c r="E91" i="5"/>
  <c r="R52" i="10"/>
  <c r="S45" i="10"/>
  <c r="R45" i="10"/>
  <c r="O45" i="10"/>
  <c r="G61" i="10"/>
  <c r="G66" i="10"/>
  <c r="G114" i="10"/>
  <c r="I91" i="5"/>
  <c r="H124" i="10"/>
  <c r="H49" i="10"/>
  <c r="R133" i="10"/>
  <c r="H52" i="10"/>
  <c r="H114" i="10"/>
  <c r="G63" i="10"/>
  <c r="H48" i="10"/>
  <c r="H117" i="10"/>
  <c r="H62" i="10"/>
  <c r="S53" i="10"/>
  <c r="H56" i="10"/>
  <c r="H126" i="10"/>
  <c r="H32" i="10"/>
  <c r="H109" i="10"/>
  <c r="H24" i="10"/>
  <c r="H47" i="10"/>
  <c r="H91" i="10"/>
  <c r="H34" i="10"/>
  <c r="H55" i="10"/>
  <c r="H17" i="10"/>
  <c r="H110" i="10"/>
  <c r="H67" i="10"/>
  <c r="H27" i="10"/>
  <c r="G111" i="10"/>
  <c r="H23" i="10"/>
  <c r="H143" i="10"/>
  <c r="H131" i="10"/>
  <c r="G127" i="10"/>
  <c r="H58" i="10"/>
  <c r="H9" i="10"/>
  <c r="G104" i="10"/>
  <c r="H28" i="10"/>
  <c r="G120" i="10"/>
  <c r="H141" i="10"/>
  <c r="G56" i="10"/>
  <c r="H46" i="10"/>
  <c r="S52" i="10"/>
  <c r="H140" i="10"/>
  <c r="H134" i="10"/>
  <c r="G117" i="10"/>
  <c r="H14" i="10"/>
  <c r="H119" i="10"/>
  <c r="G52" i="10"/>
  <c r="G109" i="10"/>
  <c r="G110" i="10"/>
  <c r="G57" i="10"/>
  <c r="G54" i="10"/>
  <c r="G10" i="10"/>
  <c r="G62" i="10"/>
  <c r="H139" i="10"/>
  <c r="D135" i="10"/>
  <c r="G135" i="10"/>
  <c r="G92" i="10"/>
  <c r="G133" i="10"/>
  <c r="D133" i="10"/>
  <c r="H42" i="10"/>
  <c r="G53" i="10"/>
  <c r="D53" i="10"/>
  <c r="D23" i="10"/>
  <c r="G23" i="10"/>
  <c r="G45" i="10"/>
  <c r="D45" i="10"/>
  <c r="G91" i="10"/>
  <c r="D91" i="10"/>
  <c r="H29" i="10"/>
  <c r="H22" i="10"/>
  <c r="H37" i="10"/>
  <c r="H133" i="10"/>
  <c r="D48" i="10"/>
  <c r="G48" i="10"/>
  <c r="H15" i="10"/>
  <c r="H18" i="10"/>
  <c r="D46" i="10"/>
  <c r="G46" i="10"/>
  <c r="H138" i="10"/>
  <c r="H122" i="10"/>
  <c r="H39" i="10"/>
  <c r="G93" i="10"/>
  <c r="G27" i="10"/>
  <c r="D27" i="10"/>
  <c r="D24" i="10"/>
  <c r="G24" i="10"/>
  <c r="D124" i="10"/>
  <c r="G124" i="10"/>
  <c r="D37" i="10"/>
  <c r="G37" i="10"/>
  <c r="D15" i="10"/>
  <c r="G15" i="10"/>
  <c r="H123" i="10"/>
  <c r="D21" i="10"/>
  <c r="G21" i="10"/>
  <c r="H40" i="10"/>
  <c r="D52" i="10"/>
  <c r="D123" i="10"/>
  <c r="G123" i="10"/>
  <c r="D12" i="10"/>
  <c r="G12" i="10"/>
  <c r="D33" i="10"/>
  <c r="G33" i="10"/>
  <c r="D41" i="10"/>
  <c r="G41" i="10"/>
  <c r="D139" i="10"/>
  <c r="G139" i="10"/>
  <c r="H45" i="10"/>
  <c r="D7" i="10"/>
  <c r="G55" i="10"/>
  <c r="G115" i="10"/>
  <c r="G119" i="10"/>
  <c r="G60" i="10"/>
  <c r="G58" i="10"/>
  <c r="G64" i="10"/>
  <c r="G126" i="10"/>
  <c r="G116" i="10"/>
  <c r="G106" i="10"/>
  <c r="G65" i="10"/>
  <c r="G105" i="10"/>
  <c r="G9" i="10"/>
  <c r="R53" i="10"/>
  <c r="G59" i="10"/>
  <c r="G19" i="10"/>
  <c r="D19" i="10"/>
  <c r="D34" i="10"/>
  <c r="G34" i="10"/>
  <c r="G94" i="10"/>
  <c r="G49" i="10"/>
  <c r="D49" i="10"/>
  <c r="D132" i="10"/>
  <c r="G132" i="10"/>
  <c r="H137" i="10"/>
  <c r="D131" i="10"/>
  <c r="G131" i="10"/>
  <c r="D42" i="10"/>
  <c r="G42" i="10"/>
  <c r="D17" i="10"/>
  <c r="G17" i="10"/>
  <c r="D67" i="10"/>
  <c r="G67" i="10"/>
  <c r="D35" i="10"/>
  <c r="G35" i="10"/>
  <c r="C93" i="10"/>
  <c r="H93" i="10" s="1"/>
  <c r="D138" i="10"/>
  <c r="G138" i="10"/>
  <c r="D143" i="10"/>
  <c r="G143" i="10"/>
  <c r="D122" i="10"/>
  <c r="G122" i="10"/>
  <c r="H64" i="10"/>
  <c r="H54" i="10"/>
  <c r="H127" i="10"/>
  <c r="H61" i="10"/>
  <c r="H63" i="10"/>
  <c r="H106" i="10"/>
  <c r="H10" i="10"/>
  <c r="H59" i="10"/>
  <c r="H120" i="10"/>
  <c r="H60" i="10"/>
  <c r="H66" i="10"/>
  <c r="H135" i="10"/>
  <c r="C92" i="10"/>
  <c r="H92" i="10" s="1"/>
  <c r="D142" i="10"/>
  <c r="G142" i="10"/>
  <c r="D13" i="10"/>
  <c r="G13" i="10"/>
  <c r="H21" i="10"/>
  <c r="S21" i="10"/>
  <c r="D43" i="10"/>
  <c r="G43" i="10"/>
  <c r="H65" i="10"/>
  <c r="D36" i="10"/>
  <c r="G36" i="10"/>
  <c r="G95" i="10"/>
  <c r="H13" i="10"/>
  <c r="C90" i="10"/>
  <c r="H90" i="10" s="1"/>
  <c r="H136" i="10"/>
  <c r="H142" i="10"/>
  <c r="H33" i="10"/>
  <c r="H41" i="10"/>
  <c r="H115" i="10"/>
  <c r="G28" i="10"/>
  <c r="D28" i="10"/>
  <c r="D47" i="10"/>
  <c r="G47" i="10"/>
  <c r="H31" i="10"/>
  <c r="H35" i="10"/>
  <c r="C94" i="10"/>
  <c r="H94" i="10" s="1"/>
  <c r="G137" i="10"/>
  <c r="D137" i="10"/>
  <c r="D18" i="10"/>
  <c r="G18" i="10"/>
  <c r="H130" i="10"/>
  <c r="D16" i="10"/>
  <c r="G16" i="10"/>
  <c r="H36" i="10"/>
  <c r="G90" i="10"/>
  <c r="H19" i="10"/>
  <c r="D134" i="10"/>
  <c r="G134" i="10"/>
  <c r="H132" i="10"/>
  <c r="C95" i="10"/>
  <c r="H95" i="10" s="1"/>
  <c r="D30" i="10"/>
  <c r="G30" i="10"/>
  <c r="H53" i="10"/>
  <c r="H38" i="10"/>
  <c r="G136" i="10"/>
  <c r="D136" i="10"/>
  <c r="H16" i="10"/>
  <c r="H43" i="10"/>
  <c r="H104" i="10"/>
  <c r="D141" i="10"/>
  <c r="O133" i="10" s="1"/>
  <c r="G141" i="10"/>
  <c r="H105" i="10"/>
  <c r="H57" i="10"/>
  <c r="D31" i="10"/>
  <c r="G31" i="10"/>
  <c r="D40" i="10"/>
  <c r="G40" i="10"/>
  <c r="H111" i="10"/>
  <c r="D130" i="10"/>
  <c r="G130" i="10"/>
  <c r="D39" i="10"/>
  <c r="G39" i="10"/>
  <c r="H116" i="10"/>
  <c r="H12" i="10"/>
  <c r="G29" i="10"/>
  <c r="D29" i="10"/>
  <c r="D38" i="10"/>
  <c r="G38" i="10"/>
  <c r="G22" i="10"/>
  <c r="D22" i="10"/>
  <c r="D32" i="10"/>
  <c r="G32" i="10"/>
  <c r="D14" i="10"/>
  <c r="G14" i="10"/>
  <c r="D140" i="10"/>
  <c r="G140" i="10"/>
  <c r="H30" i="10"/>
  <c r="I95" i="5"/>
  <c r="I90" i="5"/>
  <c r="I94" i="5"/>
  <c r="I92" i="5"/>
  <c r="I93" i="5"/>
  <c r="E90" i="5"/>
  <c r="E93" i="5"/>
  <c r="E94" i="5"/>
  <c r="E92" i="5"/>
  <c r="E95" i="5"/>
  <c r="T83" i="10" l="1"/>
  <c r="I87" i="10"/>
  <c r="T82" i="10"/>
  <c r="I82" i="10"/>
  <c r="T31" i="10"/>
  <c r="I79" i="10"/>
  <c r="I70" i="10"/>
  <c r="I83" i="10"/>
  <c r="I72" i="10"/>
  <c r="I77" i="10"/>
  <c r="I78" i="10"/>
  <c r="I86" i="10"/>
  <c r="I85" i="10"/>
  <c r="I75" i="10"/>
  <c r="I73" i="10"/>
  <c r="I76" i="10"/>
  <c r="I84" i="10"/>
  <c r="I74" i="10"/>
  <c r="I80" i="10"/>
  <c r="T28" i="10"/>
  <c r="I71" i="10"/>
  <c r="I99" i="10"/>
  <c r="I100" i="10"/>
  <c r="T29" i="10"/>
  <c r="T30" i="10"/>
  <c r="O30" i="10"/>
  <c r="O28" i="10"/>
  <c r="O29" i="10"/>
  <c r="I98" i="10"/>
  <c r="I101" i="10"/>
  <c r="I104" i="10"/>
  <c r="I117" i="10"/>
  <c r="I91" i="10"/>
  <c r="I47" i="10"/>
  <c r="I67" i="10"/>
  <c r="I141" i="10"/>
  <c r="I62" i="10"/>
  <c r="I18" i="10"/>
  <c r="I29" i="10"/>
  <c r="I127" i="10"/>
  <c r="I124" i="10"/>
  <c r="I66" i="10"/>
  <c r="I28" i="10"/>
  <c r="I56" i="10"/>
  <c r="I139" i="10"/>
  <c r="T52" i="10"/>
  <c r="I109" i="10"/>
  <c r="I114" i="10"/>
  <c r="I57" i="10"/>
  <c r="I48" i="10"/>
  <c r="I58" i="10"/>
  <c r="I55" i="10"/>
  <c r="T45" i="10"/>
  <c r="I119" i="10"/>
  <c r="R46" i="10"/>
  <c r="T46" i="10" s="1"/>
  <c r="O46" i="10"/>
  <c r="I110" i="10"/>
  <c r="I54" i="10"/>
  <c r="I32" i="10"/>
  <c r="I27" i="10"/>
  <c r="I131" i="10"/>
  <c r="O131" i="10"/>
  <c r="T53" i="10"/>
  <c r="I24" i="10"/>
  <c r="T132" i="10"/>
  <c r="I120" i="10"/>
  <c r="I140" i="10"/>
  <c r="I137" i="10"/>
  <c r="I10" i="10"/>
  <c r="I9" i="10"/>
  <c r="I52" i="10"/>
  <c r="I111" i="10"/>
  <c r="I143" i="10"/>
  <c r="I17" i="10"/>
  <c r="I49" i="10"/>
  <c r="I134" i="10"/>
  <c r="I63" i="10"/>
  <c r="I22" i="10"/>
  <c r="I39" i="10"/>
  <c r="I61" i="10"/>
  <c r="I14" i="10"/>
  <c r="I42" i="10"/>
  <c r="I34" i="10"/>
  <c r="I126" i="10"/>
  <c r="I23" i="10"/>
  <c r="T131" i="10"/>
  <c r="I136" i="10"/>
  <c r="O130" i="10"/>
  <c r="O134" i="10"/>
  <c r="O132" i="10"/>
  <c r="T134" i="10"/>
  <c r="R130" i="10"/>
  <c r="T130" i="10" s="1"/>
  <c r="S133" i="10"/>
  <c r="T133" i="10" s="1"/>
  <c r="I46" i="10"/>
  <c r="I30" i="10"/>
  <c r="D93" i="10"/>
  <c r="I135" i="10"/>
  <c r="I43" i="10"/>
  <c r="I59" i="10"/>
  <c r="I65" i="10"/>
  <c r="I64" i="10"/>
  <c r="I21" i="10"/>
  <c r="I53" i="10"/>
  <c r="I16" i="10"/>
  <c r="I13" i="10"/>
  <c r="I19" i="10"/>
  <c r="I12" i="10"/>
  <c r="D94" i="10"/>
  <c r="I90" i="10"/>
  <c r="I94" i="10"/>
  <c r="I93" i="10"/>
  <c r="D95" i="10"/>
  <c r="I122" i="10"/>
  <c r="I41" i="10"/>
  <c r="I45" i="10"/>
  <c r="I116" i="10"/>
  <c r="I132" i="10"/>
  <c r="I60" i="10"/>
  <c r="I106" i="10"/>
  <c r="I31" i="10"/>
  <c r="D90" i="10"/>
  <c r="I142" i="10"/>
  <c r="I138" i="10"/>
  <c r="I130" i="10"/>
  <c r="I95" i="10"/>
  <c r="I33" i="10"/>
  <c r="I123" i="10"/>
  <c r="I115" i="10"/>
  <c r="O22" i="10"/>
  <c r="R22" i="10"/>
  <c r="T22" i="10" s="1"/>
  <c r="I35" i="10"/>
  <c r="I15" i="10"/>
  <c r="R21" i="10"/>
  <c r="T21" i="10" s="1"/>
  <c r="O21" i="10"/>
  <c r="I36" i="10"/>
  <c r="I133" i="10"/>
  <c r="I40" i="10"/>
  <c r="I37" i="10"/>
  <c r="D92" i="10"/>
  <c r="I38" i="10"/>
  <c r="O27" i="10"/>
  <c r="R27" i="10"/>
  <c r="T27" i="10" s="1"/>
  <c r="I105" i="10"/>
  <c r="I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<sst xmlns="http://schemas.openxmlformats.org/spreadsheetml/2006/main" count="2059" uniqueCount="797">
  <si>
    <t>Supplementary File S1. Extracted data from interventions years 2000-2025</t>
  </si>
  <si>
    <t xml:space="preserve">Notes: Papers are grouped by the review which they were mentioned in. If a paper was mentioned in more than one review it has only been included once. </t>
  </si>
  <si>
    <t>Where interventions led to comparable improvements in both the intervention and control groups, they were coded as "All groups improved".</t>
  </si>
  <si>
    <t>For age, reasonable assumptions/calculations were made to impute missing additional data for higher-powered downstream analyses (see individual cells for exact calculations; where there is no calculation, the mean was provided in the paper).</t>
  </si>
  <si>
    <t xml:space="preserve">In terms of behaviour change techniques (BCTs) (column 'AC'), all interventions used the domain ‘BCIO:007017: monitoring’ as in 'BCIO:007026: provide biofeedback', so this was not specified in the datasheet. Where monitoring was specified, it was an additional monitoring BCT (i.e self-monitoring results through an app). </t>
  </si>
  <si>
    <t>BCTs for Celis-Morales et al. 2017; Livingstone et al. 2016 and Damschroder et al. 2020 were coded from their respective protocol papers, published separately (DOIs: 10.1007/s12263-014-0450-2 and 10.2196/12526).</t>
  </si>
  <si>
    <t>Authors</t>
  </si>
  <si>
    <t>Title</t>
  </si>
  <si>
    <t>Year</t>
  </si>
  <si>
    <t>DOI</t>
  </si>
  <si>
    <t>Effective?</t>
  </si>
  <si>
    <t>Behaviour</t>
  </si>
  <si>
    <t>Number of target behaviours</t>
  </si>
  <si>
    <t>Study design</t>
  </si>
  <si>
    <t>Population</t>
  </si>
  <si>
    <t>Number of participants</t>
  </si>
  <si>
    <t>Proportion female</t>
  </si>
  <si>
    <t>Mean Age</t>
  </si>
  <si>
    <t>Income identified?</t>
  </si>
  <si>
    <t>Education identified?</t>
  </si>
  <si>
    <t>Intervention design</t>
  </si>
  <si>
    <t>Number of modes of communication</t>
  </si>
  <si>
    <t>Behaviour Change Theory</t>
  </si>
  <si>
    <t>Number of BCTs used</t>
  </si>
  <si>
    <t>BCT for monitoring specifically (non-biomarker)?</t>
  </si>
  <si>
    <t>Babazono, A., Kame, C., Ishihara, R., Yamamoto, E., Hillman, A. L.</t>
  </si>
  <si>
    <t>Patient-motivated prevention of lifestyle-related disease in Japan: a randomized, controlled clinical trial</t>
  </si>
  <si>
    <t>10.2165/00115677-200715020-00007</t>
  </si>
  <si>
    <t>Yes</t>
  </si>
  <si>
    <t>Alcohol reduction, Diet, Physical activity</t>
  </si>
  <si>
    <t>Blood pressure, HbA1c, lipids, anthropometrics</t>
  </si>
  <si>
    <t>Blood pressure, HbA1c, lipids, weight/BMI</t>
  </si>
  <si>
    <t>Randomised intervention</t>
  </si>
  <si>
    <t xml:space="preserve">General practice patients referred by GP for program, study included people with stage 1 hypertension or elevated hbA1c </t>
  </si>
  <si>
    <t>No</t>
  </si>
  <si>
    <t>12 months</t>
  </si>
  <si>
    <t>Primary outcomes included changes in vegetable intake and PA levels (steps per day). Secondary measures included bodyweight, BMI, BP, blood lipids, HbA1c, and a general health questionanaire (GHQ30).</t>
  </si>
  <si>
    <t xml:space="preserve">Intervention group significantly increased their mean steps per day (from 7,345 to 10,373, p.&lt;0.001). Control group did not. The difference in steps between intervention and control was statistically significant. After a year, the proportion of patients consuming ≥2 meals with servings of any type of vegetable per day was 85% (up from 73.9%), and the control group was 73.2% (up from 70.7%). Intervention group participants were more likely to consume ≥2 meals with any type of vegetable than the control group (OR 3.8; 95%CI 1.0-14.0, p&lt;0.05). Consumption of green/yellow vegetables also increased among intervention participants, with 50% (up from 34.8%) consuming ≥2 meals with green/yellow yegetables. This did not change in control group participants. Thus, the intervention group members were more likely to consume ≥2 meals with green/yellow vegetables (OR 4.2, 95%CI 1.4-12.6, p&lt;0.05). There were no statistically significant changes in body weight, BMI, BP, cholesterol, TGs, HbA1c or GHQ30. </t>
  </si>
  <si>
    <t>In person</t>
  </si>
  <si>
    <t>Once</t>
  </si>
  <si>
    <t>Goal directed BCT
Social support BCT</t>
  </si>
  <si>
    <t>Almeida, V., Littlejohn, P., Cop, I., Brown, E., Afroze, R., Davison, K. M.</t>
  </si>
  <si>
    <t>Comparison of Nutrigenomics Technology Interface Tools for Consumers and Health Professionals: A Sequential Explanatory Mixed Methods Investigation</t>
  </si>
  <si>
    <t>10.2196/12580</t>
  </si>
  <si>
    <t>Diet</t>
  </si>
  <si>
    <t>Genetics</t>
  </si>
  <si>
    <t>RCT</t>
  </si>
  <si>
    <t>Adults aged 37-57 years (mean age 45.8 years, SD 5.8).</t>
  </si>
  <si>
    <t>9 weeks</t>
  </si>
  <si>
    <t>Participants were randomised to receive a standard nutrition-based gene test report (control; n=19) or a practitioner-facilitated personalised nutrition intervention (intervention; n=36).</t>
  </si>
  <si>
    <t xml:space="preserve">Primary: Differences in the diet quality score (Healthy Eating Index–Canadian [HEI-C]; proportion [%] of calories from total fat, saturated fat, and sugar; omega 3 fatty acid intake [grams]; sodium intake [milligrams]); as well as health-related quality of life (HRQoL) scale score. Secondary: Anthropometrics, self-efficacy. </t>
  </si>
  <si>
    <t xml:space="preserve">Percentage of calories from total fat (mean difference [MD]=−5.1%; Wilks’ lambda [λ]=0.817; F1,53= 11.68; P=.001; eta-squared [η²]=0.183 ) as well as from saturated fat (MD=−1.7%; λ=0.816; F1,53=11.71; P=.001; η²=0.18) and health-related quality of life (HRQoL) scores (MD=8.1 points; λ=0.914; F1,53=4.92; P=.03; η²=0.086). There were significant differences between groups over time for sodium (λ=0.846; F1,53=9.47; P=.003; η²=0.15) and HEI-C scores (λ=0.660; F1,53=27.43; P&lt;.001; η²=0.35. </t>
  </si>
  <si>
    <t>Transtheoretical Model</t>
  </si>
  <si>
    <t>Goal directed BCT</t>
  </si>
  <si>
    <t>Celis-Morales, C., Livingstone, K. M., Marsaux, C. F., Macready, A. L., Fallaize, R., O'Donovan, C. B., Woolhead, C., Forster, H., Walsh, M. C., Navas-Carretero, S., San-Cristobal, R., Tsirigoti, L., Lambrinou, C. P., Mavrogianni, C., Moschonis, G., Kolossa, S., Hallmann, J., Godlewska, M., Surwillo, A., Traczyk, I., Drevon, C. A., Bouwman, J., van Ommen, B., Grimaldi, K., Parnell, L. D., Matthews, J. N., Manios, Y., Daniel, H., Martinez, J. A., Lovegrove, J. A., Gibney, E. R., Brennan, L., Saris, W. H., Gibney, M., Mathers, J. C., Food4Me, Study</t>
  </si>
  <si>
    <t>Effect of personalized nutrition on health-related behaviour change: evidence from the Food4Me European randomized controlled trial</t>
  </si>
  <si>
    <t xml:space="preserve">10.1093/ije/dyw186 </t>
  </si>
  <si>
    <t>Genetics, glucose, lipids, nutrient biomarkers, anthropometrics</t>
  </si>
  <si>
    <t>Genetics, weight/BMI, blood glucose, total cholesterol, carotenoids, omega-3 fatty acid index and 32 other fatty acids, and vitamin D</t>
  </si>
  <si>
    <t>Adults.</t>
  </si>
  <si>
    <t>6 months</t>
  </si>
  <si>
    <t>Four-arm intervention: Control group/Level 0 (L0): non-personalised dietary, body weight and physical activity (PA) advice based on population guidelines; Level 1 (L1): personalised nutrition (PN) advice based on individual dietary intake data alone; Level 2 (L2): PN advice based on individual dietary intake and phenotypic data; Level 3 (L3): PN advice based on individual dietary intake and phenotypic and genotypic data. </t>
  </si>
  <si>
    <t>Primary: Changes to dietary intake. Secondary: anthropometric measures (body weight (BW), body mass index (BMI) and waist circumference) and blood biomarkers (total cholesterol (TC), carotenoids and fatty acids).</t>
  </si>
  <si>
    <t>All participants improved their diet over the intervention period. Individuals receiving PN advice consumed less red meat (8.5%), salt (6.3%), and energy (4.4%), and had higher healthy eating index (HEI) scores (2.6%) compared with the Control group. No significant differences were seen in the other food groups. Changes in dietary outcomes did not differ between Levels 1, 2 and 3 of PN. Nutrient changes were assessed in salt, saturated fat, dietary fibre, folate and polyunsaturated fatty acids (PUFAs). Participants receiving PN advice consumed less salt (8.9%) and saturated fat (7.8%) and had higher folate intake (11.5%) compared with controls. No significant changes to biomarkers or anthropometric measures at conclusion of the intervention. </t>
  </si>
  <si>
    <t>Written Communication</t>
  </si>
  <si>
    <t>None</t>
  </si>
  <si>
    <t>Monitoring BCT
Increase awareness of consequences BCT
Social Support</t>
  </si>
  <si>
    <t>BCIO:007019: record behaviour without feedback BCT **NOTE: from BCTO hierarchy sheet The monitoring agent can be a human or a technical device. If recording is part of a data collection procedure rather than a strategy aimed at changing behaviour, do not code; if feedback given, code only 'provide feedback on outcome of behaviour BCT' and not this class; if observing behaviour code 'observe behaviour without feedback BCT'.</t>
  </si>
  <si>
    <t>Nielsen, D. E., El-Sohemy, A.</t>
  </si>
  <si>
    <t>Disclosure of genetic information and change in dietary intake: a randomized controlled trial</t>
  </si>
  <si>
    <t>10.1371/journal.pone.0112665</t>
  </si>
  <si>
    <t>double-blinded, parallel group RCT</t>
  </si>
  <si>
    <t>Healthy adults (age 26.5+/-3.0 years)</t>
  </si>
  <si>
    <t>Intended to mimic the nature of a direct to-consumer genetic test: all study materials were distributed and completed via mail/electronically. No in-person contact was made with subjects. Subjects who had previously participated in a nutrigenomics research study and had provided a blood sample were invited to complete a 196-item, semi-quantitative Toronto modified Willet food frequency questionnaire (FFQ) and were then randomized to an intervention or control group (2:1 ratio). The intervention group consisted of those who would have either the ‘‘risk’’ or ‘‘non-risk’’ genotype for each of the genes. The dietary report for subjects in the intervention group informed subjects of their genotypes and included a corresponding DNA-based dietary recommendation for daily intake of caffeine, vitamin C, added sugars and sodium. Those who possessed the genotype that has been associated with increased risk of a health outcome when consuming above or below a certain daily amount were given a ‘‘targeted’’ dietary recommendation. For caffeine and sodium, this recommendation was more stringent than the current general recommendation for daily intake, based on previous research  that evaluated health outcomes according to genotype at different levels of intake. For added sugars and vitamin C, subjects were to meet the current general recommendation for daily intake, since no previous study has examined how individuals respond to consuming various levels of these nutrients according to genotype. Subjects who possessed the genotype that has not been associated with increased risk received the current general recommendation for daily intake. The control group was e-mailed a report of current general recommendations for the same nutrients without genetic information. Subjects were e-mailed a monthly reminder of their dietary report and additional FFQs were collected at 3- and 12-month follow-up assessments.</t>
  </si>
  <si>
    <t>Primary outcome: change in dietary intakes of caffeine, vitamin C, added sugars, and sodium between the control and intervention groups from baseline to the follow-up assessments. Changes in dietary intakes between baseline and 3-months determined short-term effects of the intervention, while changes in intakes between baseline and 12- months were considered long-term effects. Secondary outcome:  the proportion of participants who met recommendations for intake before/after the intervention for dietary components that significantly changed between the control and intervention groups.</t>
  </si>
  <si>
    <t xml:space="preserve">No significant changes from baseline for intakes of caffeine, vitamin C, added sugars, or sodium at the 3-month follow-up among subjects in the intervention risk group, nor among subjects in the intervention non-risk group (Compared to the control group). At 12-month follow-up, intervention risk group subjects who possessed the risk version of the ACE gene (thus given the targeted advice to consume below the Adequate Intake [AI] of 1500 mg/day of sodium), significantly reduced their mean sodium intake (mg/day) from baseline when compared to the control group (-287.3 ±114.1 vs. 129.8 ±118.2, p = 0.008) (control group was given the general recommendation for sodium intake [Tolerable Upper Intake Level (UL): ≤2300 mg/day]). The mean change in sodium intake (mg/day) among non-risk intervention subjects for the the ACE gene (advised to follow the general recommendation for sodium intake), did not differ from the change in intake of the control group at 12-months. Among those in the risk intervention group for the ACE gene, 19% met the targeted recommendation of ≤1500 mg/day at baseline compared to 34% after 12 months (p = 0.06), and 59% met the general recommendation of ≤2300 mg/day at baseline compared to 66% after 12 months (p = 0.41). The mean changes in intakes from baseline for caffeine, vitamin C and added sugars did not differ from the control group at the 12-month follow-up among either the intervention-risk or intervention non-risk group. </t>
  </si>
  <si>
    <t>Increase awareness of consequences BCT
Guide to how to perform behaviour BCT</t>
  </si>
  <si>
    <t>Williams, D. R., Lewis, N. M.</t>
  </si>
  <si>
    <t>Effectiveness of nutrition counseling in young adult males</t>
  </si>
  <si>
    <t>10.1016/S0271-5317(02)00399-8</t>
  </si>
  <si>
    <t>Lipids</t>
  </si>
  <si>
    <t>Cholesterol</t>
  </si>
  <si>
    <t>Randomised trial</t>
  </si>
  <si>
    <t>Healthy males (aged 21.5 +/- 1.4 years)</t>
  </si>
  <si>
    <t>6 weeks</t>
  </si>
  <si>
    <t xml:space="preserve">Men were randomly assigned to one of four groups; nutrition counselling and measurement of serum cholesterol (NC + SC), nutrition counselling only (NC), measurement of serum cholesterol only (SC), or control (C). At weeks 1 and 6, participants completed a 24-hour recall, a 2-day food record, and a food frequency questionnaire. The groups who recieved nutrition counselling were presented with a computer nutrient analysis of their food intake to help them identify sources of fat in their diet. </t>
  </si>
  <si>
    <t>Dietary changes, fat intake (% of E), perception of nutrition counselling</t>
  </si>
  <si>
    <t>In the NC + SC group there was a significant reduction in fat (-3.2 ±1.4, P 0.02) from pre- to post-intervention, the NC, SC and C groups did not experience a significant change in percent calories from fat. Participants who received nutrition counseling (NC + SC and NC groups) increased their servings of fresh fruit, “light” salad dressing, and &lt;30% fat ground beef after the counseling (P  0.05). There were no differences in the food frequency from pre- to post-assessment in the SC and C groups. All of the men who received nutrition counselling reported gaining some nutrition knowledge by their participation in this study and 92% said that the nutrition counselling convinced them that lowering their dietary fat intake would reduce their risk of CHD. 96% of the participants stated they had made dietary changes as a result of the study, such as "eating less fast food" and "eating more fruits and vegetables". A small subgroup (31%) of the participants responded negatively to goal setting. 92% said seeing a model of the “clogged artery” in a nutrition counselling session was helpful.</t>
  </si>
  <si>
    <t>Goal directed BCT
Increase awareness of consequences BCT</t>
  </si>
  <si>
    <t>Livingstone, K. M., Celis-Morales, C., Navas-Carretero, S., San-Cristobal, R., Macready, A. L., Fallaize, R., Forster, H., Woolhead, C., O'Donovan, C. B., Marsaux, C. F., Kolossa, S., Tsirigoti, L., Lambrinou, C. P., Moschonis, G., Godlewska, M., Surwillo, A., Drevon, C. A., Manios, Y., Traczyk, I., Gibney, E. R., Brennan, L., Walsh, M. C., Lovegrove, J. A., Saris, W. H., Daniel, H., Gibney, M., Martinez, J. A., Mathers, J. C., Food4Me, Study</t>
  </si>
  <si>
    <t>Effect of an Internet-based, personalized nutrition randomized trial on dietary changes associated with the Mediterranean diet: the Food4Me Study</t>
  </si>
  <si>
    <t xml:space="preserve">10.3945/ajcn.115.129049 </t>
  </si>
  <si>
    <t>Diet, Physical activity</t>
  </si>
  <si>
    <t>Genetics, lipids, nutrient biomarkers, anthropometrics</t>
  </si>
  <si>
    <t>Genetics, glucose, lipids, nutrient biomarkers, weight/BMI</t>
  </si>
  <si>
    <t>Adults (aged 39.9 ± 13.0 years).</t>
  </si>
  <si>
    <t>Unclear</t>
  </si>
  <si>
    <t>6-month, four-arm intervention.  Control group/Level 0 (L0): non-personalised dietary, body weight and physical activity (PA) advice based on population guidelines; Level 1 (L1): personalised nutrition (PN) advice based on individual dietary intake data alone; Level 2 (L2): PN advice based on individual dietary intake and phenotypic data; Level 3 (L3): PN advice based on individual dietary intake and phenotypic and genotypic data. </t>
  </si>
  <si>
    <t>Changes to dietary consumption as measured by MedDiet scores.</t>
  </si>
  <si>
    <t xml:space="preserve">MedDiet scores were greater in individuals randomly assigned to PN (mean L1, L2 and L3) than in controls (L0) (PN compared with control arms: 5.20 ± 0.05 and 5.48 ± 0.07, respectively; P = 0.002). MedDiet scores at month 6 in participants who received PN advice on the basis of current diet alone (L1) were not significantly different from those randomly assigned to L2 and L3 [who received advice on the basis of current diet + phenotype (L2) and diet + phenotype + genotype (L3)].  However, MedDiet scores at month 6 for participants who received PN advice in L3 (diet + phenotype + genotype) were greater than in participants in L2 at month 6 (L3 compared with L2: 5.63 ± 0.10 and 5.38 ± 0.10, respectively; P = 0.029). </t>
  </si>
  <si>
    <t>Protection Motivation Theory</t>
  </si>
  <si>
    <t xml:space="preserve">Social support BCT
Monitoring BCT
Increase awareness of consequences BCT
Goal directed BCT </t>
  </si>
  <si>
    <t>Olson, R., Thompson, S. V., Elliot, D. L., Hess, J. A., Rhoten, K. L., Parker, K. N., Wright, R. R., Wipfli, B., Bettencourt, K. M., Buckmaster, A., Marino, M.</t>
  </si>
  <si>
    <t>Safety and Health Support for Home Care Workers: The COMPASS Randomized Controlled Trial</t>
  </si>
  <si>
    <t xml:space="preserve">10.2105/AJPH.2016.303327 </t>
  </si>
  <si>
    <t>Diet, Physical activity, workplace safety behaviours</t>
  </si>
  <si>
    <t>Blood pressure, glucose, lipids, anthropometrics</t>
  </si>
  <si>
    <t>Blood pressure, glucose, lipids, weight/BMI</t>
  </si>
  <si>
    <t>Healthcare workers (aged 51.6 years, SD=13.2)</t>
  </si>
  <si>
    <t>Clusters of healthcare workers were filled with workers who had similar availability and location of residences (total of 16 clusters with a range of 7–12 members totalling n=74 intervention; n=74 usual practice), plus an additional intervention participant did not complete baseline but completed subsequent assessments. Once 2 clusters were filled, one was randomized to intervention and the other to usual practice control. After baseline data collection, all participants received immediate feedback on physical measurements relative to normal or healthy standards and were informed of their random assignment. Control participants received pay and materials (compensation for time) and concluded enrollment. The control participants had access to the usual resources provided by their union/s, therefore, it was possible for control participants to attend monthly paid training that matched or exceeded total paid monthly activities for intervention participants. Intervention participants received a brief intervention orientation and additional materials (workbook, knee pad, step counter) before finishing enrollment. The intervention clusters participated in a researcher-led half-day workshop followed by 12 monthly peer-led meetings that were implemented by using scripted workbooks and supporting materials. Team leader recieved additional instructions and brief facilitator training at the beginning and midway through the program. Monthly meetings involved a WorkLife check-in (i.e., rating or sharing current work and life status), educational lesson, goal setting, healthy meal break, WorkLife support (i.e., structured problem solving), and a reflection. Educational lessons and goals alternated between safety and health or well-being topics. COMPASS workbook 1, which was developed and revised on the basis of a pilot study, was used during the first 6 months. Workbook 2, which was developed and tested with a subgroup of original pilot participants, was used during months 7 through 12. Instead of fully scripted lessons, workbook 2 allowed teams to choose a schedule of readings from a menu of options. Each “reading discussion” option included scripted group and individual goal setting. Intervention participants were provided individual and team “certification” incentives for meeting certain attendance and goal completion criteria.</t>
  </si>
  <si>
    <t>Primary outcomes: Community of practice (i.e., people engaged in a common activity who interact regularly for shared learning and improvement). Well-being was measured with the 12-item Short Form Health Survey version 2.0; health behaviours including daily fruit and vegetable consumption (via the National Cancer Institute fruit and vegetable screener), reduced daily consumption of high-fat and high-sugar foods (questions about frequency of consuming sugary drinks, sugary snacks, and fast food, and bringing meals from home) PA scale (5 d/wk with 30 minutes of moderate exercise), and safe behaviors and conditions when working in clients' homes (assessed with questionnaire about frequency of specific actions in the past 6 months). Secondary outcomes: Sleep quality (assessed using a single item from the Pittsburgh Sleep Quality Index), Psychosocial experiences and stress measures. An adapted Nordic questionnaire assessed the degree to which musculoskeletal pain and discomfort interfered with normal tasks, functional impairment with activities of daily living, work related injuries, and lost work time attributable to illness or injury. Physiological measures included blood pressure, blood lipids and glucose,BMI, grip strength, hamstring flexibility (using a Sit and Reach box), and a 6-minute walk test.</t>
  </si>
  <si>
    <t>Statistically significant and sustained improvement in experienced community of practice (6-month effect size (d) =0.36; P=.023; 12-month d=0.37; P.024); talking with CEs about improving unsafe conditions (12-month d=0.84; P&lt;.001); correcting slip, trip, or fall hazards (12-month d=0.45; P=.027); using new tools or techniques for moving objects or CEs (6-month d=0.65, P=.009); using new tools or techniques for house cleaning (6-month d=0.51; P=.041; 12-month d=0.64; P=.006); and daily fruit and vegetable servings (12-month d=0.31; P=.038). Interestingly, among intervention participants there was a  a significant reduction in meals brought from home relative to controls (12-month d=−0.46; P=.014). Longitudinal between-group contrasts for other secondary outcomes included significant improvements in high-density lipoprotein (6-month d=0.22; P=.045) and grip strength (12-month d=0.29; P=.011), as well as a significant reduction in lost work days because of injury (6-month d=−0.66; P=.01). Remaining secondary outcomes among HCWs were predominantly stable and nonsignificant. According to Cohen’s standards for small (d = 0.20), moderate (d = 0.50), and large (d = 0.80) effect sizes, effects for fruit and vegetable consumption and community of practice and were small to moderate, while effect sizes for safety behaviors ranged from moderate to large.</t>
  </si>
  <si>
    <t>Goal directed BCT
Social support BCT
Monitoring BCT 
Advise specific behaviour BCT</t>
  </si>
  <si>
    <t>BCT2.3 Self-monitoring of behaviour</t>
  </si>
  <si>
    <t>Greene, J., Sacks, R., Piniewski, B., Kil, D., Hahn, J. S.</t>
  </si>
  <si>
    <t>The impact of an online social network with wireless monitoring devices on physical activity and weight loss</t>
  </si>
  <si>
    <t xml:space="preserve">10.1177/2150131912469546 </t>
  </si>
  <si>
    <t>Anthropometrics</t>
  </si>
  <si>
    <t>Weight/BMI</t>
  </si>
  <si>
    <t>randomised intervention</t>
  </si>
  <si>
    <t>Adults (most [60%] 50+ years). Age reported as buckets; midpoints of buckets assumed for definite ranges (e.g., "40-49 years" = 44.5 years), while indefinite ranges (age &lt; 40 and age &gt; 60) are estimated as the next nearest 10 (i.e., 30 and 70) as overall ages are 18-79.</t>
  </si>
  <si>
    <t>Participants were randomly assigned to intervention or control groups. All participants received printed guidelines on diet and exercise during their first study visit. Materials included a sample daily meal plan with recommended serving sizes, a handout about recommended daily levels of exercise, and articles about the benefits of exercise and healthy eating. Intervention participants were provided access to the iWell OSN and were given an accelerometer that allowed them to capture PA/step count for upload to the iWell OSN and a wireless weight scale for uploading weight data. With the iWell OSN, participants could connect (“friend”) others in the network, send individual messages to their friends, make public postings, view their contact’s postings, view their PA/steps, view their weight, and compete against others in the network on step count. The iWell OSN also allowed participants to set health-related goals and to receive motivational messages.</t>
  </si>
  <si>
    <t>Physical activity levels, weight, Blood lipids.</t>
  </si>
  <si>
    <t>The intervention group significantly increased weekly leisure walking from 129 to 341 minutes, on average, a 164% increase over the 6-month study period, compared with a 47% increase for the control group. The intervention group had larger (non-significant) increases in 9 other areas of PA compared to the control group. The intervention group also lost more weight over the 6-month study period than did the control group (mean 5.2 vs 1.6 pounds). No significant differences between intervention and control for change in LDL-c and HDL-c levels. The intervention group had a significant reduction in triglycerides at 3 months compared with the control group, but it was not sustained at 6 months. In multivariate regressions, the number of messages sent by participants was positively related to increases in leisure time walking minutes and it was negatively related to weight change. In other words, the more messages a participant sent on the iWell OSN, the more likely they increased the number of minutes walked, and reduced their weight.</t>
  </si>
  <si>
    <t>Device/Online</t>
  </si>
  <si>
    <t>More than once</t>
  </si>
  <si>
    <r>
      <rPr>
        <sz val="11"/>
        <color rgb="FF000000"/>
        <rFont val="Aptos Narrow"/>
      </rPr>
      <t xml:space="preserve">Social support BCT
Goal directed BCT
Guide how to perform behaviour BCT </t>
    </r>
    <r>
      <rPr>
        <sz val="11"/>
        <color rgb="FFFF0000"/>
        <rFont val="Aptos Narrow"/>
      </rPr>
      <t xml:space="preserve"> 
</t>
    </r>
    <r>
      <rPr>
        <sz val="11"/>
        <color rgb="FF000000"/>
        <rFont val="Aptos Narrow"/>
      </rPr>
      <t>Monitoring BCT</t>
    </r>
  </si>
  <si>
    <t>BCT2.3 Self-monitoring of behaviour 
BCT2.4 Self-monitoring of outcome(s) of behaviour</t>
  </si>
  <si>
    <t>Schopp, L. H., Clark, M. J., Lamberson, W. R., Uhr, D. J., Minor, M. A.</t>
  </si>
  <si>
    <t>A randomized controlled trial to evaluate outcomes of a workplace self-management intervention and an intensive monitoring intervention</t>
  </si>
  <si>
    <t>10.1093/her/cyx042</t>
  </si>
  <si>
    <t>Diet, Physical activity, stress management</t>
  </si>
  <si>
    <t>Triglycerides, high density lipoprotein (HDL), fasting blood glucose, waist circumference, blood pressure.</t>
  </si>
  <si>
    <t>Adults (92 in the intervention group and 88 in the intensive health monitoring group).</t>
  </si>
  <si>
    <t>The intervention compared outcomes of two voluntary workplace health management methods: an adapted worksite self-management (WSM) approach and an intensive health monitoring (IM) approach. Participants were randomly assigned to either the WSM group or the IM group. WSM participants met weekly in groups of fewer than 12 members for 50 min to review the previous week’s action plan, develop a weekly goal and write an action plan for that goal. Participants could opt-in for group feedback on their action plans, and plans were modified until the participants noted their confidence level in adhering to the plan as at least an 8 on a 10-point scale. Participants also shared challenges, success stories, and health information. Groups were co-facilitated by a project staff member and a trained lay co-leader. The IM intervention consisted of three pre-scheduled biometric screenings and health surveys at baseline, 3 and 12 months. Both groups received adapted CDC health promotion materials on PA, healthy eating, stress reduction, and other primary prevention materials. A Master’s level registered nurse with a background in health promotion provided one-on-one phone counselling to review participants’ biometric results and discuss health promotion materials.</t>
  </si>
  <si>
    <t>Self-efficacy was measured via the new general self-efficacy scale (GSE). Health behaviours were measured using the Revised health lifestyle profile II (HPLP-IIR), which measures self-reported frequency of participating in health behaviors (health responsibility, physical activity, nutrition, spiritual growth, interpersonal relations and stress management). Number of days per week on which they engaged in at least 30 mins of PA (any activity that increases heart rate and makes one get out of breath some of the time). Depression symptoms were measured using the Personal health questionnaire (PHQ–8), which contains 8/9 depressive disorder criteria from the DSM-IV.  Biomarkers measured included triglycerides, high density lipoprotein (HDL), fasting blood glucose, waist circumference and blood pressure.</t>
  </si>
  <si>
    <t>Employees in both groups reported increases in self-efficacy both from baseline to 3 and baseline to 12 months. Likewise, employees in both groups reported improved health behaviors as measured by the HPLP-IIR, in all the subscales except for one. Individuals in the WSM group did not improve in the stress management subscale from baseline to 3 months, but did improve from baseline to 12 months. Individuals in the IM groups improved at both time periods on the stress management subscale. Individuals in the WSM group improved in depression symptoms at both time periods, whereas individuals in the IM group did not improve at either time period. Participants in the WSM group reported improved health and energy levels at 3 and 12 months (all P values &lt; 0.0001). Participants in the IM group reported improved health at 12 months (P = 0.01) and improved energy at 3 and 12 months (P = 0.0037; P = 0.0006). Participants in both groups reported their health interfered less with their personal life and work life at 3 and 12 months, compared to baseline (all P values &lt; 0.001). Both groups also stated experiencing less difficulty with daily activities due to their health at 3 and 12 months (P values 0.0001 to 0.02), compared to baseline. No changes were observed in biometrics in either group from baseline to 3 or 12 months.</t>
  </si>
  <si>
    <t>In person, telephone</t>
  </si>
  <si>
    <t>Goal directed BCT
Social support BCT
Advise specific behaviour BCT</t>
  </si>
  <si>
    <t>Smith, Eric N., Santoro, Erik, Moraveji, Neema, Susi, Michael, Crum, Alia J.</t>
  </si>
  <si>
    <t>Integrating wearables in stress management interventions: Promising evidence from a randomized trial</t>
  </si>
  <si>
    <t>10.1037/str0000137 10.1037/str0000137.supp (Supplemental)</t>
  </si>
  <si>
    <t>Stress management</t>
  </si>
  <si>
    <t>Respiratory rate / variability</t>
  </si>
  <si>
    <t>Pulmonary function</t>
  </si>
  <si>
    <t>Randomised intervention (Note: participants had to pay $50 to enrol, which could be redeemed for "wellness" points)</t>
  </si>
  <si>
    <t>Adults employed at a tech company (102 control; 67 treatment; mean age = 33.2; SD = 7.8).</t>
  </si>
  <si>
    <t>4 weeks</t>
  </si>
  <si>
    <t>Participants were provided with a "Spire Stone" (a monitor connected to an app which measures monitors respiratory effort and physical activity to assess metrics such as respiratory rate and respiratory rate variability, as well as steps and sedentary periods). The treatment included in-app guided breathing training modules modeled after mindfulness-based stress reduction (MBSR) programs and four wearable-based treatment components: (a) wearing of the device itself, (b) tracking and visualization of past physiological states, (c) visual real-time biofeedback, and (d) real-time notifications on significant and sustained changes of the user’s respiratory patterns.</t>
  </si>
  <si>
    <t>Primary: Stress (measured with percieved stress scale [PSS]), negative symptoms of mental health such as anxiety, depression, and general distress (Mood and Anxiety Symptoms Questionnaire [MASQ]), perceived physical and mental health over time (Center for Disease Control’s Healthy Days Core and Symptoms Modules [CDC HRQOL-14]), and a single-item questionnaire about their own life-stress level. Secondary: Additional components of CDC HRQOL-14 were given to participants, to measure how many days in the past 30 days they (a) felt their mental health was not good, and (b) felt sad, blue, or depressed. Positive and negative emotions (measured via the Positive and Negative Affect Schedule), and enjoyment (measured via the Net-Promoter score). Respiratory data was alo measured.</t>
  </si>
  <si>
    <t>Participants randomly assigned to the treatment group reported 15.8% fewer negative instances of stress, 13.0% fewer distressing symptoms, and 28.2% fewer days feeling anxious or stressed compared with a waitlist control.</t>
  </si>
  <si>
    <t>Guide how to perform behaviour BCT
Advise how to change emotions BCT
Monitoring BCT
Goal directed BCT</t>
  </si>
  <si>
    <t>BCT2.4 Self-monitoring of outcome(s) of behaviour</t>
  </si>
  <si>
    <t>Iwahori, T., Ueshima, H., Ohgami, N., Yamashita, H., Miyagawa, N., Kondo, K., Torii, S., Yoshita, K., Shiga, T., Ohkubo, T., Arima, H., Miura, K.</t>
  </si>
  <si>
    <t>Effectiveness of a Self-monitoring Device for Urinary Sodium-to-Potassium Ratio on Dietary Improvement in Free-Living Adults: a Randomized Controlled Trial</t>
  </si>
  <si>
    <t>10.2188/jea.JE20160144</t>
  </si>
  <si>
    <t>Nutrient biomarkers, anthropometrics, blood pressure</t>
  </si>
  <si>
    <t>Urinary sodium-to-potassium ratio</t>
  </si>
  <si>
    <t>open, prospective, parallel RCT</t>
  </si>
  <si>
    <t>Adults</t>
  </si>
  <si>
    <t>1 month</t>
  </si>
  <si>
    <t xml:space="preserve">Eligible study participants were randomly allocated into two groups. All subjects in the “device + usual care” intervention group, but not those in the “usual care” control group, were given portable handy-sized urinary Na/K ratio monitors. Participants in the intervention group were asked to measure at least one spot urine Na/K ratio daily, and to try to reduce their Na and increase their K intake to achieve a target set by investigators. All participants received a brief dietary education that provided details on how to avoid high salt foods and which vegetables and fruits could be consumed in order to increase K intake. For salt reduction, participants were given information on the top 10 Na intake sources in Japanese meals and were then advised on how to avoid these foods by replacing them with other reduced-Na alternatives. To increase the K, participants were provided with information on the major K intake sources that were available in local grocery stores. All parrticipants then received a leaflet that summarised this dietary information prior to the start of trial.
</t>
  </si>
  <si>
    <t>Primary outcome was the change in 24-hour urinary Na/K ratio (a proxy for confirming reduction in dietary salt intake). Secondary outcomes included changes in the 24-hour excretion of Na and K, BP, and body weight.</t>
  </si>
  <si>
    <t>There was a non-significant trend towards larger reductions in urinary Na/K ratio observed in the intervention group, but effect of the self-monitoring device on the urinary Na/K ratio did not reach the accepted level of statistical significance on the pre-specified effect size. Changes in urinary sodium-to-potassium ratio were −0.55 in the intervention group and −0.06 in the control group (P = 0.088); respective sodium excretion changes were −18.5 mmol=24 hours and −8.7 mmol=24 hours (P = 0.528); and corresponding potassium excretion was 2.6 mmol=24 hours and −1.5 mmol=24 hours (P = 0.300). No significant reductions were observed in either blood pressure or body weight after the intervention.</t>
  </si>
  <si>
    <t>Guide how to perform behaviour BCT 
Monitoring BCT</t>
  </si>
  <si>
    <t>Wengreen, H. J., Nix, E., Madden, G. J.</t>
  </si>
  <si>
    <t>The effect of social norms messaging regarding skin carotenoid concentrations among college students</t>
  </si>
  <si>
    <t>10.1016/j.appet.2017.04.027</t>
  </si>
  <si>
    <t>Nutrient biomarkers</t>
  </si>
  <si>
    <t>Skin carotenoid concentrations</t>
  </si>
  <si>
    <t>First-year nutrition students (mean age 20, ±3.6 years)</t>
  </si>
  <si>
    <t>7 weeks</t>
  </si>
  <si>
    <t>Students completed an online assessment of their usual dietary intake of FV over the past month, and were randomly assigned to the Individualized Normative Feedback group (n = 57), Manipulated Normative Feedback group (n = 62), or the Control group (n = 66). Group assignment was not disclosed to participants. As part of the course curriculum, all students were informed about the validity of skin carotenoids as a biomarker of carotenoid-containing FV consumption. Skin carotenoid levels were measured in the second week of the class and all participants were given a printed message that included the sentence, “Eating more vegetables and fruits that are red, orange, yellow, green, or purple will help to increase your skin carotenoid score.”  Control group participants were told, “You will receive your skin carotenoid score in approximately 7 weeks.” Participants in the Manipulated Normative group were given a printed message that did not indicate their score, but instead said, “Your skin carotenoid score is in the 20th percentile of skin carotenoid scores for college students attending Utah State University. 80% of college students have a higher skin carotenoid score than you. Students who eat the recommended amount of fruits and vegetables have skin carotenoid scores of 35,000 or higher.” 47 of 62 (76%) students who were randomized to the Manipulated Normative group were deceived by the message communicated to them (i.e., their skin carotenoid level was not in the bottom 20% of scores among college students). Participants in the Individualized Normative group were given a printed message that included their skin carotenoid score, a visual representation of the distribution of scores measured in a reference population of “college students attending Utah State University,” and their percentile ranking within that reference distribution which was obtained from 344 students enrolled in the same course during the previous year (mean = 24,172, SD = 8697; range: 5820–52,050). For example, “Your skin carotenoid score of 32,808 is in the 82%ile of skin carotenoid scores for college students attending Utah State University. 18% of college students have a score that is higher than your score. Students who eat the recommended amount of fruits and vegetables typically have skin carotenoid scores of 35,000 or higher.”</t>
  </si>
  <si>
    <t>Skin carotenoid concentrations, F&amp;V consumption (self-reported).</t>
  </si>
  <si>
    <t>Skin carotenoid levels of participants in the Manipulated Normative group increased significantly more than those in the Control group (t (126) = 3.74, p &lt; 0.001; d = 0.67), but these students' self-reported FV intake did not increase.</t>
  </si>
  <si>
    <t>Focus Theory of Normative Conduct</t>
  </si>
  <si>
    <t>Increase awareness of consequences BCT</t>
  </si>
  <si>
    <t>Doets, de Hoogh, Holthuysen, Wopereis, Verain, van den Puttelaar, Hogenelst,  Boorsma, Bouwman, Timmer, Pasman, van Erk, Reinders.</t>
  </si>
  <si>
    <t>Beneficial effect of personalized lifestyle advice compared to generic advice on wellbeing among Dutch seniors: An explorative study</t>
  </si>
  <si>
    <t xml:space="preserve">10.1016/j.physbeh.2019.112642  </t>
  </si>
  <si>
    <t>Blood pressure, anthropometrics, genetics, glucose, Lipids</t>
  </si>
  <si>
    <t>Blood pressure, body composition, genetics, glucose, lipids, weight/BMI</t>
  </si>
  <si>
    <t>single-blind RCT</t>
  </si>
  <si>
    <t>Sedentary adults (age 67.7 ± 4.8 years).</t>
  </si>
  <si>
    <t>Participants either received personalised advice (PA) or generic advice (GA). Biological measurements were performed at baseline (T = 0) to quantify individual health status to be used in feedback for subjects in both groups (PA+GA) and as input for the decision trees to determine the content of the PA. PA was given based on metabolic health measures and dietary intake resulting in an advice that highlighted food groups and physical activity types for which behavior change was most urgent.</t>
  </si>
  <si>
    <t>Self-perceived health as parameter of wellbeing using a self-perceived health score (single-item) and two questionnaires (Vita-16 and Short Form-12). Anthropometrics and physical functioning (short physical performance battery [SPPB]) were assessed.</t>
  </si>
  <si>
    <t>Overall scores for self-perceived health did not change over time in any group. Resilience and motivation (Vita-16) slightly improved only in the PA group, whilst mental health (SF-12) and energy (Vita-16) showed slight improvement only in the GA group. SPPB scores improved over time in both the PA and GA group. PA participants also showed a reduction in body fat percentage and hip circumference, whereas these parameters increased in the GA group.</t>
  </si>
  <si>
    <t>Kocher, Erica</t>
  </si>
  <si>
    <t>Evaluating the Feasibility and Effectiveness of Self-Monitoring of Health: a Pilot Study among Samoan Women</t>
  </si>
  <si>
    <t>10.26635/phd.2020.636</t>
  </si>
  <si>
    <t>Physical activity</t>
  </si>
  <si>
    <t>pilot RCT</t>
  </si>
  <si>
    <t xml:space="preserve">Samoan women </t>
  </si>
  <si>
    <t>Two types of devices were used FitBitZip® activity monitors and BodyTrace© scales. Participants were randomly assigned to one of three groups for a four-week intervention period: 1) FitBit Zip® step-counter, 2) digital BodyTrace© scale, or 3) both devices. All participants wore FitBits for the duration of the intervention period to measure their physical activity; the screens were uncovered for the groups assigned to selfmonitor
using the FitBits, but they remained covered in the Scale Only group. Participants
then used the devices for a four-week intervention period. The research team visited participants once at approximately the midpoint of the four-week intervention period to download data from the FitBits. This visit did not include any additional surveys or any feedback on the outcomes of interest.</t>
  </si>
  <si>
    <t>The study measured device use, daily step counts, and BMI, in addition to psychosocial indicators of health (assessed via various questionnaires: The Multidimensional Health Locus of Control Scale [HLOC] which measures an individual’s perceived control of their own health [Internal], the influence of random luck [Chance], and the influence of others such as friends, family, and medical providers [Powerful Others]; The Self-efficacy for Exercise Behaviors Scale; the Weight Efficacy Life Style Questionnaire;  The SF8 Quality of Life scale; a self reported health question which asked individuals to assess their overall health for their age [Excellent, Very Good, Good, Poor, and Very Poor].</t>
  </si>
  <si>
    <t>There was no effect on PA levels, measured using median daily step counts. A significant increase in BMI between the baseline and post intervention assessments was observed among the two groups that used scales (Scale Only p=0.005, FitBit and Scale p=0.058), while the FitBit Only group had a slight, nonsignificant decrease in BMI (p=0.898). Post intervention the three groups did not differ in their HLOC subscale scores. Median scores on HLOC subscales increased by a statistically significant amount in the Scale Only and the combined FitBit and Scale groups. The FitBit Only group had a significant increase in the ‘Chance’ and ‘Powerful Others’ subscales, but no significant change in the Internal subscale. All three groups significantly increased their Self-efficacy for Exercise post-intervention, with a median increase in score of 16.0 points across all three groups. The FitBit Only and FitBit and Scale groups had a significant increase in Weight Control Self Efficacy following the intervention of 18.0 and 14.0 respectively, while the Scale Only group had a moderately significant increase of 12.0 (p=0.053) There was no significant difference in FibtBit use between the three groups during the baseline assessment or intervention. There was also a significant difference in self-assessed health changed during the intervention period. In the FitBit Only group SF-8 scores increased for both physical (2.5 to 6.5, p=0.002) and mental (3.0 to 6.0, p=0.008) health, indicating worsening quality of life. There were no reported changes in the SF-8 scores of the other two groups. Prior to the intevention, all participants self-reported their health as excellent, very good, or good. However, post-intervention the proportion of individuals in the FitBit only group reporting that their health was excellent increased (from 73.3% to 86.7%), while the proportion decreased for the Scale Only (64.3% to 57.1%) and FitBit and Scale groups (80.0% to 33.3%) (p=0.038).</t>
  </si>
  <si>
    <t>Monitoring BCT</t>
  </si>
  <si>
    <t>Hollands, G. J., Marteau, T. M.</t>
  </si>
  <si>
    <t>The impact of using visual images of the body within a personalized health risk assessment: an experimental study</t>
  </si>
  <si>
    <t>10.1111/bjhp.12016</t>
  </si>
  <si>
    <t>Body composition, weight/BMI</t>
  </si>
  <si>
    <t xml:space="preserve">experimental study </t>
  </si>
  <si>
    <t xml:space="preserve">Adults </t>
  </si>
  <si>
    <t>All participants received an assessment and information focusing on the health implications of internal body fat and highlighting the protective beneﬁts of PA. Participants were randomised to receive this in either (a) solely text form (control arm) or (b) text plus a visual image of predicted internal body fat (image arm). Participants received information representing one of three levels of health threat, determined by how physically active they were: high, moderate or benign. All participants recieved information on the difference between internal (intra-abdominal) and external (subcutaneous) body fat; an explanation of the link between internal fat and cardiovascular risk; and a prediction of the likely range of internal body fat the participant had. Participants in the experimental arm were presented with a visual image (standardised for each level of health risk) of what their body fat distribution might look like, additional to the text. The images used were representative of those likely to be given in feedback in health care settings, consisting of a full-body MRI scan image that was digitally manipulated to alter the visible fat distribution. Participants were informed that their risk assessment was based on a combination of baseline anthropometric and demographic details + their PA questionnaire responses. In reality (as was emphasised inthe debrieﬁng upon completion of the study), the information was based on a measure of current PA. The purpose of this basic tailoring was to provide a broadly plausible risk assessment to the recipient (i.e., ensuring that individuals who were highly physically active received benign risk information) but to retain control of the range ofinformation being communicated. By informing participants that the assessment was complex, it was intended to provide face validity and encourage engagement with the intervention.</t>
  </si>
  <si>
    <t>Primary outcome measure: intention to meet recommended PA levels (assessed using a single item questionnaire).</t>
  </si>
  <si>
    <t>Receipt of a visual image did not increase PA intentions overall [F(1,898) = 3.47, p = .063, r = .06]. The image intervention did signiﬁcantly increase intentions in participants who received a high level of communicated risk,(F(1,471) = 4.45, p = .035, r = .10), with no effect on those who received moderate or benign levels of communicated risk (p values &gt; .10). The interaction between image intervention and level of communicated risk was not signiﬁcant, F(5,895) = 1.323,p = &gt;.10.</t>
  </si>
  <si>
    <t>Shakudo, M., Takegami, M., Shibata, A., Kuzumaki, M., Higashi, T., Hayashino, Y., Suzukamo, Y., Morita, S., Katsuki, M., Fukuhara, S.</t>
  </si>
  <si>
    <t>Effect of feedback in promoting adherence to an exercise programme: a randomized controlled trial</t>
  </si>
  <si>
    <t xml:space="preserve">10.1111/j.1365-2753.2009.01342.x </t>
  </si>
  <si>
    <t>Blood pressure, anthropometrics, VO2max</t>
  </si>
  <si>
    <t>Blood pressure, weight/BMI</t>
  </si>
  <si>
    <t>Adults (average age 40.5 ± 10.1 years)</t>
  </si>
  <si>
    <t>12 weeks</t>
  </si>
  <si>
    <t>Study subjects were randomized into three groups (A, n = 37; B,n = 37 and C, n = 31). All subjects undertook a home-based aerobic exercise programme during the study period, which included walking, jogging and swimming at the discretion of the individual. Target exercise dose for each participant was set to meet exercise recommendations proposed by the American College of Sports Medicine (ACSM) in 1990 (aerobic exercise of more than 20 minutes per session and three sessions per week). The minimum duration of any particular exercise within a session was set at 10 minutes and aboveand exercise intensity was set at moderate intensity or higher (equivalent to 3–6 metabolic equivalents [METs] or higher). Subjects in group A were provided with feedback based on their exercise and a ‘health letter’ (newsletter on health issues every 2 weeks), while Group B was given the health letter alone every 2 weeks. Group C was a control group that was instructed to submit exercise records without any intervention. Comparison of groups A and B allowed us to evaluate whether the provision of regular feedback to participants affected their adherence, while comparison of groups B and C indicated the effect of regular contact with participants via periodic health letter. The newsletter contained general health-related topics without speciﬁc reference to the effects of exercise.</t>
  </si>
  <si>
    <t>The main outcome measure throughout the study was the % achievement of target exercise level, deﬁned as the number of weeks during which the exercise target was reached divided by the number of weeks in the programme. Missing records were treated as the subject not having exercised. Secondary outcomes: BMI,SBP/DPB, Vo2max, adherence to exercise and total exercise time (in minutes) per week at 1 month after the end of the programme. Adherence was deﬁned as the maintenance of aerobic exercise for 3 or more days per week for 20 minutes per day.</t>
  </si>
  <si>
    <t>The % achievement of target exercise level during the 12-week period was highest in group A (26.5%), followed by groups B (22.9%) and C (17.4%), but these results were non-significant (P = 0.36). In a sub-group analysis of participants under 40 compared with those over 40 years of age, % achievement of target was significantly different (*P = 0.040) between groups A (23.4%) and C (6.4%). Changes in BMI before and after the exercise programme were 0.21 kg m-2 in group A, 0.21 kg m-2 in group B and 0.05 kg m-2 in group C. Changes in SBP before and after the programme trended down-ward by 0.9 mmHg in group A (n = 30) and 2.9 mmHg in group B (n = 32), whereas that in group C (n = 29) trended upward by 1.6 mmHg. Likewise, DBP in groups A and B decreased by 0.4 and 2.3 mmHg, respectively, whereas that in Group C increased by 0.4 mmHg. Among other variables, Vo2max increased by 1.0 mL kg-1minute-1 in group A (n = 34), 1.2 mL kg-1 minute-1 in group B(n = 30) and 0.8 mL kg-1 minute-1 in group C (n = 29. No significance was provided for the secondary outcome values.</t>
  </si>
  <si>
    <t>Monitoring BCT
Goal directed BCT
Increase awareness of behaviour BCT
Increase awareness of consequences BCT</t>
  </si>
  <si>
    <t>Gleason-Comstock, J. A., Streater, A., Jen, K. L., Artinian, N. T., Timmins, J., Baker, S., Joshua, B., Paranjpe, A.</t>
  </si>
  <si>
    <t>Consumer health information technology in an adult public health primary care clinic: a heart health education feasibility study</t>
  </si>
  <si>
    <t xml:space="preserve">10.1016/j.pec.2013.07.010 </t>
  </si>
  <si>
    <t xml:space="preserve">Alcohol reduction, Diet, smoking cessation, stress management </t>
  </si>
  <si>
    <t>Blood pressure, anthropometrics</t>
  </si>
  <si>
    <t>Randomised pre-post-follow-up design.</t>
  </si>
  <si>
    <t xml:space="preserve">Adults (mean age: 49.7 years, SD = 11.8]. </t>
  </si>
  <si>
    <t>3 months</t>
  </si>
  <si>
    <t>Participants were randomly assigned to use a kiosk with attached devices to receive a six-week healthy eating/weight monitoring (intervention) or general health/BP monitoring (attention-control) program. Outcomes were measured at baseline, 8 weeks (post) and three month follow-up.</t>
  </si>
  <si>
    <t>Changes in eating behavior were assessed using Rate Your Plate® (RYP), a simplified food-frequency questionnaire (FFQ) developed by the Pawtucket Heart Health Program as an eating patterns assessment and educational tool for cholesterol screening and education programs. The tool was adapted to the current population with the addition of one item related to potatoes, French fries and yams. Responses to each item were assigned values from one to three, with three indicating the healthiest behaviors for heart health. A total score was created by summing item values and could range from 31 to 93. Additional outcomes included post and follow-up blood pressure readings, weight, and BMI.</t>
  </si>
  <si>
    <t xml:space="preserve">27 (52%) participants completed all three assessments. Completion did not vary by group assignment: 15 were from the nutrition group and 12 from the general health group (χ2 = 0.471, p = .49). Results from multivariate analyses indicated that there were no significant differences between groups for any of the outcomes. However, regardless of group assignment, study participants showed a statistically significant reduction in both weight and blood pressure across time. Although there was an increase in healthy eating behaviors between baseline and follow-up, the change was not statistically significant. </t>
  </si>
  <si>
    <t>Monitoring BCT
Social Support</t>
  </si>
  <si>
    <t>Proper, K. I., van der Beek, A. J., Hildebrandt, V. H., Twisk, J. W., van Mechelen, W.</t>
  </si>
  <si>
    <t>Short term effect of feedback on fitness and health measurements on self reported appraisal of the stage of change</t>
  </si>
  <si>
    <t>10.1136/bjsm.37.6.529</t>
  </si>
  <si>
    <t>Blood pressure, anthropometrics, lipids, VO2max</t>
  </si>
  <si>
    <t>Blood pressure, body composition, lipids, pulmonary function</t>
  </si>
  <si>
    <t>Civil servants</t>
  </si>
  <si>
    <t>9 months</t>
  </si>
  <si>
    <t>Participants were randomised to intervention or control groups. After fitness and health testing, intervention group participants received immediate feedback, whereas the control group did not, to determine the influence of feedback.</t>
  </si>
  <si>
    <t xml:space="preserve">Stage of behaviour change (transtheoretical model) </t>
  </si>
  <si>
    <t xml:space="preserve">Most of the subjects in the intervention and reference groups did not change with regard to stage of physical activity and nutrition behaviour. Only a minority in both groups reported adopting a more PA or a healthier diet, or relapsing with regard to either. However, for calorie intake and weight management, a relatively large percentage of the intervention subjects (12%) reported a relapse. The x2 test showed no significant differences between the study groups at the level of stage of behaviour change, nor did a stratified analysis for men and women. </t>
  </si>
  <si>
    <t>Social support BCT
Increase awareness of consequences BCT</t>
  </si>
  <si>
    <t>Liukkonen, M., Nygard, C. H., Laukkanen, R.</t>
  </si>
  <si>
    <t>A Cluster Randomized Controlled Trial on the Effects of Technology-aided Testing and Feedback on Physical Activity and Biological Age Among Employees in a Medium-sized Enterprise</t>
  </si>
  <si>
    <t>10.1016/j.shaw.2017.03.003</t>
  </si>
  <si>
    <t>Blood pressure, anthropometrics, heart rate</t>
  </si>
  <si>
    <t>Blood pressure, body composition, heart rate, weight/BMI</t>
  </si>
  <si>
    <t>Adult employees (mean age 42 +/- 10 years)</t>
  </si>
  <si>
    <t>Body Age measurement and physical activity questionnaires were conducted at 0 months, 6 months, and 12 months. The Body Age measurement process is used to form a biological age using participant's muscular strength, flexibility, aerobic fitness, and body composition. At baseline, group A received only the separate test results (not the Body Age index). Group B received the Body Age results (index in years). Group C received both Body Age and separate test results, as well as a training computer (FT60; Polar Electro Inc.) to support voluntary training. The report included all the results related to the overall population results. The participants were given a separate training program, and an occupational health nurse went through the report in detail with each participant. Between the 6th and 12th month of the intervention, all participants were contacted by phone monthly. The research nurse called them to complete the physical activity questionnaire and provided guidance if needed.</t>
  </si>
  <si>
    <t>Biological age reduction measured using BodyAge, and physical activity estimates using the International Physical Activity Questionnaire Short Form (IPAQ-SF).</t>
  </si>
  <si>
    <t>The Body Age difference decreased significantly during the intervention, however, no interaction effect was found. The mean changes (years) in the groups were as follows: A −2.20 [95% confidence interval (CI): −3.09 to −1.30], B −2.83 (95% CI: –3.76 to −1.91), and C −2.31 (95% CI: –3.24 to −1.37). While changes over time were statistically significant in all groups (p &lt; 0.001), there were no statistically significant differences in the changes between the groups (p = 0.13). There were significant differences in PA levels between the groups (p = 0.027), however the changes were not significant (p = 0.98) and with no interaction effects (p = 0.63). The mean changes (MET/min/wk) in the groups, from baseline to the end, were as follows: A −89 (95% CI: –1,109 to 926), B −17 (95% CI: –1,021 to 987), and C 127 (95% CI: –904 to 1,158). The paper also mentions SBP improved significantly but there are no detailed results indicating this in the body of the paper, nor in the supplementary files.</t>
  </si>
  <si>
    <t>Telephone</t>
  </si>
  <si>
    <t xml:space="preserve">Social support BCT
</t>
  </si>
  <si>
    <t>Damschroder, L. J., Buis, L. R., McCant, F. A., Kim, H. M., Evans, R., Oddone, E. Z., Bastian, L. A., Hooks, G., Kadri, R., White-Clark, C., Richardson, C. R., Gierisch, J. M.</t>
  </si>
  <si>
    <t>Effect of Adding Telephone-Based Brief Coaching to an mHealth App (Stay Strong) for Promoting Physical Activity Among Veterans: Randomized Controlled Trial</t>
  </si>
  <si>
    <t>10.2196/19216</t>
  </si>
  <si>
    <t>Heart rate, anthropometrics</t>
  </si>
  <si>
    <t>Heart rate, weight/BMI</t>
  </si>
  <si>
    <t>Randomized Controlled Trial (RCT)</t>
  </si>
  <si>
    <t xml:space="preserve">US veterans (aged 39.8, SD 8.7) </t>
  </si>
  <si>
    <t xml:space="preserve">Half the participants were randomised to the "Stay Strong" app alone (n=179), and half to "Stay Strong+Coaching" (n=178); both programs lasted 12 months. Stay Strong+Coaching utilised personalised coaching via automated in-app motivational messages (3 per week), telephone-based human health coaching (up to 3 calls), and personalised weekly goal setting. All aspects of the enrollment process and program delivery were accomplished virtually for both groups, except for the telephone-based coaching. </t>
  </si>
  <si>
    <t>The primary outcome was change in physical activity at 12 months post-baseline, measured by average weekly Active Minutes, captured by the Fitbit Charge 2 device. Secondary outcomes included changes in step counts, weight, and patient activation.</t>
  </si>
  <si>
    <t>Active Minutes decreased from baseline to 12 months for both groups (P&lt;.001) with no between-group differences at 6 months (P=.82) or 12 months (P=.98). However, at 12 months, many participants in both groups did not record Active Minutes, leading to missing data in 67.0% (120/179) for Stay Strong and 61.8% (110/178) for Stay Strong+Coaching. Average baseline weight for participants in Stay Strong and Stay Strong+Coaching was 214 lbs and 198 lbs, respectively, with no difference at baseline (P=.54) or at 6 months (P=.28) or 12 months (P=.18) post-baseline based on administrative weights, which had lower rates of missing data. Changes in the number of steps recorded and patient activation also did not differ by arm. Adding automated and phone-based human coaching to the Stay Strong mHealth program (Stay Strong+Coaching) did not improve PA levels compared to baseline, nor compared to the Stay Strong program alone among US veterans. Specifically, the rate of changes did not show difference between arms in Active Minutes, step counts, patient activation, and weight at 6 months or 12 months. In Stay Strong+Coaching, 70.8% (126/178) of participants completed at least 2 of 3 planned coaching calls in the first 9 weeks of the program but, like participants in Stay Strong, significantly decreased the frequency of syncing their Fitbit device to the point where over 60% (230/357) of trial participants had missing PA data 12 months postbaseline.</t>
  </si>
  <si>
    <t>Device/Online, Telephone</t>
  </si>
  <si>
    <t>IMB Model, Self-Regulation Theory, The BUS Framework</t>
  </si>
  <si>
    <t>Goal directed BCT
Social support BCT
Increase awareness of behaviour BCT</t>
  </si>
  <si>
    <t>BCT2.3 Self-monitoring of behaviour
BCT2.4 Self-monitoring of outcome(s) of behaviour</t>
  </si>
  <si>
    <t>Knight, E., Stuckey, M. I., Petrella, R. J.</t>
  </si>
  <si>
    <t>Health promotion through primary care: enhancing self-management with activity prescription and mHealth</t>
  </si>
  <si>
    <t xml:space="preserve">10.3810/psm.2014.09.2080 </t>
  </si>
  <si>
    <t>Blood pressure, glucose, anthropometrics</t>
  </si>
  <si>
    <t>Blood pressure, glucose, weight/BMI</t>
  </si>
  <si>
    <t xml:space="preserve">Adults (mean age 63 ± 5 years) </t>
  </si>
  <si>
    <t>Tailored physical activity prescription targeting changes in various intensities of physical activity (eg, exercise, sedentary behavior, or both) for improving physiological and behavioral markersof lifestyle-related disease risk. Participants were randomly assigned to one of three groups; (1) exercise (EX), in which participants received PA prescription targeting increases in high-intensity activity (ie, exercise); (2) sedentary behavior (SB),in which participants received a physical activity prescription targeting reductions and interruptions in low-intensity daily activity (ie, sedentary behavior); and (3) comprehensive counseling (CC), in which participants received an activity prescription targeting both increases in high-intensity activity (ie, exercise) and reductions in low-intensity activity (ie, sedentary behavior). All participants received an mHealth technology kit including smartphone, blood pressure monitor, glucometer, and pedometer. Participants engaged in physical activity programming at home during the 12-week intervention period.</t>
  </si>
  <si>
    <t xml:space="preserve">Physical activity (steps) was measured daily. Body weight (kg) was measured once weekly using the participant’s own weight scale. Blood pressure (mm Hg) was measured in a seated position 3 times weekly (2 weekdays and 1 weekend day) upon waking. Fasting blood glucose (mmol/L) was measured once weekly. </t>
  </si>
  <si>
    <t xml:space="preserve">The multivariate analysis of variance revealed a significant effect of the intervention during the 12-week home-monitoring period F(10 488) = 2.947, P = 0.001, ηP2 = 0.057). Changes in home-monitored body weight varied across groups from a non-significant reduction in the SB group (-0.8kg, P0.52), to a significant increase in the EX (+2.8kg, P 0.02) and a non-significant increase in the CC group (+0.7kg, P0.54). However, there was no significant difference in these changes when between-group analysis was performed. Mean home-monitored systolic blood pressure was reduced by 4.2 mm Hg and diastolic blood pressure by 4.0 mm Hg, with reductions in systolic and diastolic blood pressure reaching significant across all groups. These values may be considered clinically meaningful. Mean changes in blood glucose were significant for the groups prescribed higher intensity activity (EX: -0.4mmol/L and CC: -0.8mmol/L).There was no significant difference in changes between groups for physical activity (F(2247) = 1.615, P = 0.201, ηP2 = 0.013), or blood pressure (systolic, F(2247) = 1.260, P = 0.286, ηP2 = 0.010; diastolic,F(2247) = 0.520, P = 0.595, ηP2 = 0.004).  Changes were significantly different between groups for fasting blood glucose (F(2247) = 5.978, P = 0.003, ηP2 = 0.046). </t>
  </si>
  <si>
    <t>Increase awareness of behaviour BCT
Guide how to perform behaviour BCT 
Monitoring BCT</t>
  </si>
  <si>
    <t>Hietaranta-Luoma, H. L., Tahvonen, R., Iso-Touru, T., Puolijoki, H., Hopia, A.</t>
  </si>
  <si>
    <t>An intervention study of individual, apoE genotype-based dietary and physical-activity advice: impact on health behavior</t>
  </si>
  <si>
    <t>10.1159/000371743</t>
  </si>
  <si>
    <t>All groups improved</t>
  </si>
  <si>
    <t>ApoE allele</t>
  </si>
  <si>
    <t>single-blinded intervention study</t>
  </si>
  <si>
    <t xml:space="preserve">Healthy adults (mean age 47.0, SD 12.1) </t>
  </si>
  <si>
    <t xml:space="preserve">Participants were randomised into control (n = 61) and intervention groups (n = 61) using the random sampling method of Microsoft Excel. Of the 61 subjects in the intervention group, 40 were placed in the low-risk (Ɛ4–) and 21 in the high-risk (Ɛ4+) group. Due to drop-outs, 107 subjects were included in final analysis. Baseline and follow-up assessments included detailed measurements of psychological, behavioral, and clinical factors. During the intervention, 6 different communication sessions were arranged. The 1st session was a compulsory lecture on healthy lifestyle and diet held by a qualified nutritionist. The 2nd and 5th sessions included health messages and information on the personal apoE genotype provided by mail. The 3rd session was an elective lecture on gene-diet interactions and apoE held by a professor of nutrigenomics and nutrigenetics. Finally, the 4th and 6th communication sessions were voluntary personal discussions with the doctor. These two sessions were carried out according to the guidelines for scientific practice laid down in the Declaration of Helsinki. Health behavioral effects were assessed for the Ɛ4+ (n = 16) and Ɛ4– (n = 35) intervention groups as well as for the control group (n = 56). The genotypes apoE 3/4 (n = 15) and 4/4 (n = 1) were included in group Ɛ4+, and the genotypes 2/3 (n = 8) and 3/3 (n = 27) were included in group Ɛ4–. In the control group, the participants had the genotypes 3/4 (n = 11), 4/4 (n = 1), 2/3 (n = 6), 3/3 (n = 37), and 2/2 (n = 1). Genotype apoE 2/4 did not occur in the participants. Health information was based on the analyzed apoE genotype and was provided using the Extended Parallel Process Model (EPPM) . The specific risk communicated to the participants in the study was CVD, and the effect of apoE genotype on CVD risk was emphasized for each participant in the intervention groups. For the Ɛ4+ group, the message emphasized that a dietary change (e.g., improvement in fat quality) and increased exercise would be especially important for their genotype in order to lower the cholesterol level and prevent CVD. The information for the Ɛ4– group emphasized the interaction between environmental factors and genotype and highlighted the significance of the individual’s own lifestyle. All tailored health information comprised four different parts: response efficacy, self-efficacy, susceptibility, and severity . The control group received general information about the study together with general health information on lifestyle and CVD risk based on health and nutrition recommendations and studies from the National Institute for Health and Welfare in Finland. </t>
  </si>
  <si>
    <t xml:space="preserve">Behavioral changes were measured by diet (e.g., fat quality, as well as consumption of vegetables, berries, fruits, and fatty and sugary foods), alcohol consumption, and exercise, indicated via questionnaires. Additionally health and taste attitudes were assessed with the Health and Taste Attitude
Scales (HTAS). </t>
  </si>
  <si>
    <t xml:space="preserve">Saturated fat intake was higher than recommended in every group (scores: 10–17) at baseline (T0). Intake of unsaturated fat increased and that of saturated fat decreased in every group after the genetic feedback (T1). The change was greatest in the Ɛ4+ group (ΔT0–T1: +3.8), and there was a statistically significant difference between the Ɛ4+ and the control group (p &lt; 0.05, partial η 2 = 0.064) ( table 3 ; fig. 2 ). Every group improved the fat quality in their diet until the 6-month measuring point (T2), but the improvement (T0–T2) was significant (p &lt; 0.01, partial η 2 = 0.125) only in the Ɛ4+ group. Towards the end of the intervention and during the last 6 months with no active health communication (T3), the intake of saturated fat again increased and that of unsaturated fat decreased in both intervention groups. This unfavorable change in scores was higher in the Ɛ4+ group (ΔT2–T3: –1.7) than in the Ɛ4– group (ΔT2–T3: –0.2). In the control group, fat quality improved slightly even during the last 6 months of the intervention (ΔT2–T3: +0.2). Although the dietary fat quality deteriorated during the last 6 months of the intervention, the fat quality of the diet was improved at the end of the intervention (T3) compared with the baseline values (T0) for every group. However, this total improvement (T0–T3) was not significant in any group.  Vegetable, fruit, and berry consumption increased slightly in every group during the intervention, but the differences between the groups were minor and not statistically significant. There was a decreasing trend in the consumption of high-fat/high-sugar foods.  During the intervention, the changes in alcohol consumption after the disclosure of personal genetic information were minor, and there were no statistically significant differences between the groups. Genetic feedback had only a minor impact on physical activity. The biggest difference was ΔT0–T1 between the Ɛ4+ and the Ɛ4– group. Physical activity increased by 6.3% in the Ɛ4+ group but decreased by 17.1% in the Ɛ4– group; however, the difference was not significant. There was an increasing trend toward the valuation of health (general health interest, light product interest, and natural product interest) and a decreasing trend toward the valuation of taste (craving for sweet foods, using food as a reward, and pleasure) in every group after the genetic feedback (T1), especially in the Ɛ4+ group ( table 4 ). The reliability of the HTAS was acceptable, with α coefficient values of 0.73 (T0), 0.76 (T1), 0.72 (T2), and 0.70 (T3). </t>
  </si>
  <si>
    <t>Extended Parallel Process Model</t>
  </si>
  <si>
    <t xml:space="preserve">Increase awareness of behaviour BCT
</t>
  </si>
  <si>
    <t>Roke, K., Walton, K., Klingel, S. L., Harnett, A., Subedi, S., Haines, J., Mutch, D. M.</t>
  </si>
  <si>
    <t>Evaluating changes in omega-3 fatty acid intake after receiving personal FADS1 genetic information: A randomized nutrigenetic intervention</t>
  </si>
  <si>
    <t>10.3390/nu9030240</t>
  </si>
  <si>
    <t>SNPs in FADS1 and omega-3 metabolism</t>
  </si>
  <si>
    <t>Females (mean age = 22.0 ± 1.5 years).</t>
  </si>
  <si>
    <t>Participants were randomised into either a Genetic group (intervention) or Non-Genetic group (control), ensuring that each group would have an equivalent number of major and minor allele carriers. The lead investigator for the study intervention was blinded to this assignment. Participants were informed of which group they were in at baseline. Participants provided fasted blood samples, had a one-on-one information session, and received a copy of all study intervention materials. All participants were also given a generic information document that provided details of omega-3 FAs, and an overview of the association between SNPs in FADS1 and omega-3 metabolism. Specifically, it was indicated that individuals who are homozygote GG allele carriers have been reported to have more EPA in their bodies and an increased ability to convert ALA into EPA and DHA, while individuals with at least one copy of the minor allele (GT or TT) were shown to have less EPA in their bodies and a reduced ability to convert ALA into EPA and DHA.If participants were assigned to the Genetic group, they were informed they were either a major (GG) or minor (GT + TT) allele carrier, according to their personal FADS1 genotype. If the participants were in the Non-Genetic group, the letter indicated that they would receive their genetic information at the end of the study. Importantly, no dietary advice was provided in a genotype-specific manner.</t>
  </si>
  <si>
    <t xml:space="preserve">Dietary intake of omega-3 FAs was assessed via FFQ. Data on the awareness of omega-3 FAs, perceptions of receiving genetic information, and overall perceptions of the study intervention was also assessed through online questionnaires with questions of various types (multiple choice, select all that apply, Likert-style rating questions, sliding bar scales, and open text boxes). </t>
  </si>
  <si>
    <t>The intervention did not differentially influence dietary intake of EPA and DHA (p = 0.27), however, both groups significantly increased their intake of EPA and DHA during the intervention (p = 1.0 × 10−4). At the end of the study intervention, %EPA increased similarly in both groups (p = 0.02). Both groups experienced small increases in Total cholesterol, the Chol/HDL ratio, LDL and Non-HDL from Baseline to Final (Table 2). The change in the Chol/HDL ratio was not significant after correction for multiple comparisons. When asked about consumption of omega-3 foods, there were 8, 5 and 15 individuals in the Genetic Group, and 6, 9, and 13 in the Non-Genetic group who said “yes”, “no” and “sometimes” to making changes to overall omega-3 consumption in their diet, respectively. Participants who said “yes” or “sometimes” were then asked a subsequent question about the factors contributing to their dietary changes. There were 8/28 (28.6%) in the Genetic Group and 5/28 (17.9%) in the Non-Genetic group who reported that the reason for their dietary changes were related to the generic omega-3 information document provided to them at the start of the study (p = 0.09). However, there were 5/28 (17.9%) individuals in the Genetic group who reported that their personal genetic information was the reason they made changes to their diet.</t>
  </si>
  <si>
    <t>Goal directed BCT
Increase awareness of consequences</t>
  </si>
  <si>
    <t>Leskinen, H. M., Tringham, M., Karjalainen, H., Iso-Touru, T. K., Hietaranta-Luoma, H. L., Marnila, P. J., Pihlava, J. M., Hurme, T., Kankaanpaa, S. J., Puolijoki, H., Akerman, K., Tanner, L., Sandell, M., Vahakangas, K., Hopia, A., Tahvonen, R., Rokka, L. S.</t>
  </si>
  <si>
    <t>APOE Genotype Disclosure and Lifestyle Advice in a Randomized Intervention Study with Finnish Participants</t>
  </si>
  <si>
    <t>10.1093/jn/nxaa316</t>
  </si>
  <si>
    <t>Genetics, anthropometrics, blood pressure</t>
  </si>
  <si>
    <t>APOE genotype</t>
  </si>
  <si>
    <t>Randomised intervention trial</t>
  </si>
  <si>
    <t>Healthy volunteers (mean ± SD age: 51.0 ± 5.6 y)</t>
  </si>
  <si>
    <t>18 months</t>
  </si>
  <si>
    <r>
      <t>APOE ε4 allele is associated with higher risks of cardiovascular diseases and Alzheimer disease than ε3 and ε2 - dietary and lifestyle guidance and personal genetic risk information [</t>
    </r>
    <r>
      <rPr>
        <i/>
        <sz val="11"/>
        <color rgb="FF000000"/>
        <rFont val="Aptos Narrow"/>
        <scheme val="minor"/>
      </rPr>
      <t>ε4</t>
    </r>
    <r>
      <rPr>
        <sz val="11"/>
        <color rgb="FF000000"/>
        <rFont val="Aptos Narrow"/>
        <scheme val="minor"/>
      </rPr>
      <t> carrier (ε4+); </t>
    </r>
    <r>
      <rPr>
        <i/>
        <sz val="11"/>
        <color rgb="FF000000"/>
        <rFont val="Aptos Narrow"/>
        <scheme val="minor"/>
      </rPr>
      <t>ε4</t>
    </r>
    <r>
      <rPr>
        <sz val="11"/>
        <color rgb="FF000000"/>
        <rFont val="Aptos Narrow"/>
        <scheme val="minor"/>
      </rPr>
      <t> noncarrier (ε4−)] as motivators. participants were genotyped for APOE and divided into intervention (INT; INTε4+, n = 33; INTε4−, n = 57) and control groups (CTRL; CTRLε4+, n = 36; CTRLε4−, n = 62). Blood samples, measured observations, and questionnaire data were obtained at baseline and at 1 and 1.5 y. INT participants received their ε4 carrier status at baseline. Monthly Internet-based guidance based on the Finnish Dietary guidelines was provided for all.</t>
    </r>
  </si>
  <si>
    <t>Measures taken at baseline (T0), 1-y follow-up (T1), and 1.5-y follow-up (T1.5) included anthropometric measures, BP, and blood samples. The participants were also interviewed regarding their medication, chronic illnesses, recent respiratory infections, and dietary supplement use. Preceding each sampling, the participants were requested to keep a 7-d physical activity diary and a 4-d food diary, mainly for self-monitoring purposes. All the other variables except the self-reported lifestyle variables were measured by the research staff, and participants were requested to fill in a lifestyle questionnaire after each sampling event. The participants received results concerning their general clinical biomarkers, serum lipids, and glucose tolerance markers after each sampling event for self-monitoring purposes.</t>
  </si>
  <si>
    <t>Self-reported dietary fat quality scores of all the participants were higher (i.e., fat quality was improved) at T1 and T1.5 than at T0 (P = 0.015, increase from 18.0 at T0 to 18.9 at T1 and T1.5). Fruits, vegetables, and berry consumption increased among all the participants from 3.5 portions/d at T0 to 3.7 portions/d at T1 and 3.6 portions/d at T1.5 (P = 0.015). Vegetable consumption was higher in INTε4+ than in INTε4−, but no differences were observed between CTRLε4− and CTRLε4+ (P-interaction = 0.044). High-fat and -sugar food consumption decreased for all the participants, from 7.3 portions/wk at T0 to 6.4 and 6.5 portions/wk at T1 and T1.5, respectively (P = 0.007), and was higher in INT than in CTRL (P = 0.009). Fish intake did not differ between groups, but there was a close to significant (P = 0.11) increase in the proportion of participants (from 20.0% to 25.4%) consuming fish at least twice a week (Table 3). Physical activity level tended to be higher in ε4+ than in ε4− (P = 0.095). Alcohol intake over time did not change (P = 0.71, data not shown) but was lower in INT than in CTRL at T1.5 (P= 0.019).</t>
  </si>
  <si>
    <t>Increase awareness of behaviour BCT
Monitoring BCT
Social support BCT</t>
  </si>
  <si>
    <t>Homma, S., Imamura, H., Nakamura, T., Fujimura, K., Ito, Y., Maeda, Y., Kaneko, I.</t>
  </si>
  <si>
    <t>A comparative study on the effectiveness of one-way printed communication versus videophone interactive interviews on health promotion</t>
  </si>
  <si>
    <t>10.1177/1357633X15587436</t>
  </si>
  <si>
    <t>Blood pressure, anthropometrics, lipids, glucose, HbA1c</t>
  </si>
  <si>
    <t>Blood pressure, weight/BMI,  lipids, glucose, HbA1c</t>
  </si>
  <si>
    <t>Adults (mean age 66.1, SD 1.98)</t>
  </si>
  <si>
    <t>Participants were randomised into two groups: one group received individualized monthly documented reports (DR) (n = 33; 22 females; average age: 67.2 years), and the other received interactive videophone communication (IVC) (n = 35; 22 females; average age: 65.1 years) for three months. Telemonitoring was conducted on both groups, using a pedometer, weighing scale and a sphygmomanometer. Pre- and post-intervention, anthropometric measurements and blood tests were performed; the participants also completed self-administered questionnaires. In the videophone group, the duration of the counselling session was pre-determined and, as previously mentioned, was set at 20 minutes for the first and last sessions, and 15 minutes for the intervening session. One doctor delivered the consultation that occurred via videophone at all the sessions. In the document group, one consultant medical doctor, who also acted as a consultant in the videophone group, could prepare the counselling report at any time, and was not restricted by a pre-scheduled time. The mean time spent on the preparation of the first and last reports per participant was 9.2 ± 0.3 minutes. For the intervening report, the mean time spent on the preparation of the report per participant was 6.7 ± 0.2 minutes.</t>
  </si>
  <si>
    <t>Blood biochemistry (lipids, glucose, HbA1c, albumin, uric acid, creatinine, blood urea nitrogen [BUN], protein), BP, PA determined by daily step count, BMI. Changes to behaviour and "stage of behavioural change" were measured via questionnaire.</t>
  </si>
  <si>
    <t>The average number of steps per day during the last month in both groups was significantly higher than the first month (DR average increase = 946 steps, IVC = 1,495 steps). The difference between groups was not statistically significant. Most clinical parameters had non-significant improvements in both intervention groups. There was a small significant decrease in post-intervention BMI in DR group (-0.6kg/m2), but not in the IVC group. Diastolic blood pressure significantly decreased in the IVC group only (-7.6mmHg). Self-assessment of stage of behavioural modification (according to transtheoretical model) indicated significant improvements in stage of behaviour change in PA and dietary habits in the videophone group. In contrast, the document group showed improvement in stage of behaviour change with regard to PA only. Regarding lifestyle change as a result of participation in the programme, 72.7% of the document group and 97.1% of the videophone group answered, ‘Yes’; this difference was significant (P = 0.005).</t>
  </si>
  <si>
    <t>Increase awareness of behaviour BCT</t>
  </si>
  <si>
    <t>Vassy, J. L., Christensen, K. D., Schonman, E. F., Blout, C. L., Robinson, J. O., Krier, J. B., Diamond, P. M., Lebo, M., Machini, K., Azzariti, D. R., Dukhovny, D., Bates, D. W., MacRae, C. A., Murray, M. F., Rehm, H. L., McGuire, A. L., Green, R. C., MedSeq, Project</t>
  </si>
  <si>
    <t>The Impact of Whole-Genome Sequencing on the Primary Care and Outcomes of Healthy Adult Patients: A Pilot Randomized Trial</t>
  </si>
  <si>
    <t xml:space="preserve">10.7326/M17-0188 </t>
  </si>
  <si>
    <t>Diet, Physical activity, medication changes, supplement changes</t>
  </si>
  <si>
    <t>Genetic monogenic disease risk (MDR) results, carrier variants, pharmacogenomic associations, and polygenic risk estimates for cardiometabolic traits</t>
  </si>
  <si>
    <t>Pilot randomised trial</t>
  </si>
  <si>
    <t>Generally healthy patients aged 40–65.</t>
  </si>
  <si>
    <t>Patients were randomly assigned to receive a family history report alone (FH arm) or in combination with an interpreted WGS report including monogenic disease risk (MDR) results (associated with Mendelian disorders), carrier variants, pharmacogenomic associations, and polygenic risk estimates for cardiometabolic traits (FH+WGS arm). Each patient met with his or her PCP to discuss the reports.</t>
  </si>
  <si>
    <t>Primary outcomes: healthcare utilisation, anxiety and depression (measured by the 14-item Hospital Anxiety and Depression Scale [HADS]), and self-reported health status (measured on a 5-item Likert scale). The six-month survey also included the following health behavior question: “Have you made any of the following health or wellness changes that were specifically motivated by the information you discussed with your doctor?”. Response options included diet, exercise, use of vitamins/herbal supplements, use of medications, and other. Also included were molecular and clinical diagnoses.</t>
  </si>
  <si>
    <t xml:space="preserve">30% (17%–45%) and 41% (27%–56%) of FH and FH+WGS patients, respectively, reported making a health behavior change after six months (mostly exercise [16 and 27%] and diet [20 and 33%]). </t>
  </si>
  <si>
    <t>Increase awareness of behaviour BCT
Social support BCT</t>
  </si>
  <si>
    <t/>
  </si>
  <si>
    <t xml:space="preserve">Whitehead, R. D., Ozakinci, G., &amp; Perrett, D. I. </t>
  </si>
  <si>
    <t>A Randomized Controlled Trial of an Appearance-Based Dietary Intervention</t>
  </si>
  <si>
    <t>10.1037/a0032322</t>
  </si>
  <si>
    <t xml:space="preserve">Facial skin appearance </t>
  </si>
  <si>
    <t>Facial skin appearance</t>
  </si>
  <si>
    <t>preliminary RCT</t>
  </si>
  <si>
    <t>Adults (mean age = 23.01, age range: 18–61)</t>
  </si>
  <si>
    <t>10 weeks</t>
  </si>
  <si>
    <t>Two appearance-based dietary interventions were evaluated against a control group: one demonstrated the effect of increased and decreased fruit and vegetable consumption on an image of the participant’s own face, and the second demonstrated the same skin colour effects on generic young adult faces. Subjects were randomly allocated to one of three conditions (n = 25, 23, 25 for information-only, generic appearance, and own-face appearance intervention groups, respectively). Participants in generic face group were presented with stimuli constructed by averaging the facial shape and colour of four males or females. Both resulting base faces were manipulated in colour according to the spectrophotometer-derived effect of a 6-week change in consumption of fruit and vegetables. Participants could advance through the fruit and vegetable skin colour continuum and were instructed to select the healthiest face color on two trials. The experimenter then explained how increased fruit and vegetable consumption changed skin colour and that, in independent experiments, this made the faces appear healthier and more attractive. Participants were told the approximate difference in fruit and vegetable consumption between the baseline and the skin color they found healthiest. Participants in the "own face" group received similar materials to the generic appearance intervention group, but illustrations were performed on images of each participant’s own face. Participants viewed a demonstration (as above) in which they were able to manipulate the colour of their own face according to the empirically derived fruit and vegetable skin colour axis. These participants were asked to select what they perceived to be closest to their current skin color on two trials, followed by two trials selecting what they perceived to be the healthiest skin color from the available range. Participants received a leaflet, identical to that given to the generic appearance intervention group, except that the images were of the participant’s own face.</t>
  </si>
  <si>
    <t>Change in fruit and vegetable consumption</t>
  </si>
  <si>
    <t>46 participants (information-only 17, generic appearance 11, own-face appearance 18) completed an average of 9.6 (± 0.68 SD) follow-up questionnaires. Controlling for baseline consumption, the own-face appearance group reported a significant increase in their post-baseline fruit and vegetable consumption from baseline compared with the information-only group in post hoc tests (Bonferroni-corrected, p = .042). No other groups differed significantly (p &gt; = .147). The own-face appearance intervention group reported a significant increase in their post-baseline (average of 10 postbaseline reports) fruit and vegetable consumption from baseline (Bonferroni-corrected, t(17) = −2.726, p = .042, dz = 0.65). The other groups did not report significant diet change (p &gt; = .534).</t>
  </si>
  <si>
    <t>In person, written communication</t>
  </si>
  <si>
    <t>Increase awareness of consequences BCT
Outcome consequence BCT</t>
  </si>
  <si>
    <t>Araújo M-R, Alvarez M-J, Godinho CA, Roberto MS</t>
  </si>
  <si>
    <t>An eight-month randomized controlled trial on the use of intra-oral cameras and text messages for gingivitis control among adults</t>
  </si>
  <si>
    <t>10.1111/idh.12391</t>
  </si>
  <si>
    <t>Oral health behaviour</t>
  </si>
  <si>
    <t>Imaging oral health</t>
  </si>
  <si>
    <t>Intra-oral camera</t>
  </si>
  <si>
    <t>Adults (mean age 38.4, SD 12.49)</t>
  </si>
  <si>
    <t>8 months</t>
  </si>
  <si>
    <t>To determine the effects of intra-oral camera (IOC) during a dental hygiene consultation and mobile text messages (TM) between appointments on clinical, behavioural and psychological parameters of patients with gingivitis, patients were randomly assigned into four conditions: IOC, TM, IOC + TM and control, and examined at three assessment points over eight months.</t>
  </si>
  <si>
    <t>Primary outcomes: frequency of oral hygiene behaviours and decrease in patients’ Bleeding on marginal probing (BOMP). Secondary outcomes: evaluate the effects of these technologies on the psychological determinants described by the HAPA, and to examine the mediating role of these determinants in dental hygiene behaviour and clinical parameters in order to understand how these interventions bring about their effects.</t>
  </si>
  <si>
    <t xml:space="preserve">All treatment groups improved dental hygiene behaviours and revealed a significant decrease in BOMP from baseline to four months, in comparison with the control group. Changes in dental hygiene behaviours proved to be due to changes in flossing rather than in toothbrushing, as modifications for flossing were observed in all groups, but only in the TM group for toothbrushing. Hierarchical linear regressions also showed that individuals in the IOC + TM group had more positive outcome expectancies, revealed higher levels of action self-efficacy and presented a significant improvement in their intention from baseline to four months when compared to the control group. All treatment groups reinforced their maintenance and recovery self-efficacies when compared to the control group from baseline to four months. For action planning, results indicated participants in the TM group lowered their levels of this determinant from baseline to four months. No significant interactions were found for action control or coping planning, even though a main effect for the group was detected for the latter, indicating that individuals in the IOC + TM group had higher levels of coping planning than the control group. Between the four-month and eight-month follow-ups, no differences or slight non-significant decreases in the overall values were detected for almost all the variables. </t>
  </si>
  <si>
    <t>HAPA (Health Action Process Approach)</t>
  </si>
  <si>
    <t>Goal directed BCT
Increase awareness of consequences BCT
Outcome consequence BCT</t>
  </si>
  <si>
    <t>Stock ML, Gerrard M, Gibbons FX, Dykstra JL, Mahler HIM, Walsh LA, et al.</t>
  </si>
  <si>
    <t xml:space="preserve"> Sun Protection Intervention for Highway Workers: Long-Term Efficacy of UV Photography and Skin Cancer Information on Men's Protective Cognitions and Behavior</t>
  </si>
  <si>
    <t>10.1007/s12160-009-9151-2</t>
  </si>
  <si>
    <t>Sun protection behaviours</t>
  </si>
  <si>
    <t>UV Photography</t>
  </si>
  <si>
    <t xml:space="preserve">Skin colour assessed using skin reflectance spectrophotometry </t>
  </si>
  <si>
    <t>Male outdoor workers</t>
  </si>
  <si>
    <t>The overall intervention had two primary elements: (a) a photograph taken of the face with a UV-filter camera and (b) a 12-min educational video on UV risk (focusing on either skin cancer or photoaging). The video discussed the impact of the sun and UV exposure on either photoaging or skin cancer and provided pictures of skin damage (wrinkles and age spots or skin cancer). Each video also provided information about sunscreen use and skin protection (e.g., how much sunscreen to use, an explanation of sun protection factor [SPF], recommendation of an SPF of at least 15). Participants were first randomly assigned by worksite to receive or not receive a UV photo or to be in the control condition. Once the experimenters were at the worksite, they randomly assigned each worker to see the skin cancer or photoaging video. Thus, participants were assigned to one of five conditions: a control condition or one of the four intervention conditions: no-UV/aging, no-UV/skin cancer, UV/aging, UV/skin cancer. All participants first had two Polaroid photos taken of their faces: a natural-light black-and-white photo and a UV photo. The filtered UV light is absorbed by the melanin in the skin and the resulting photo highlights the non-uniform epidermal pigmentation that has resulted from chronic exposure to UV rays. Participants in the control and no-UV photo conditions were only shown the natural-light photo and were told the purpose of this photo would be explained at the end of the study. Men in the UV conditions were shown their natural-light photo and their UV photo as comparison. Participants were told that any “dark, freckled, or splotched areas” in the UV photograph that were not evident in the natural-light photograph indicated existing underlying skin damage due to UV exposure that will get worse if they continue to be exposed to the sun without additional protection. Intervention participants then watched their assigned video (cancer or photoaging).</t>
  </si>
  <si>
    <t>Retention of information included in both videos (i.e., minimum recommended SPF level, naming common mistakes people make when using sunscreen), perceptions of skin damage, sun protection attitudes, percieved risk, sun protection behaviours</t>
  </si>
  <si>
    <t>When attitudes were assessed, all four intervention conditions were significantly different from the control condition (all Fs &gt; 7.55, ps &lt; 0.01, ds &gt; 0.81). Additional ANCOVAs revealed that none of the intervention conditions was significantly different from all the other intervention conditions (Fs &lt; 0.63, ps &gt; 0.4). When the four intervention conditions were combined, as anticipated, intervention participants reported more positive attitudes toward sun protection than did those in the control condition, F(1, 146) = 11.49, p = 0.001, d = 0.86; Ms = 3.6 vs. 3.1, respectively. When the four intervention conditions were combined, the intervention participants reported more sun protection than did those in the control condition, F(1, 144) = 6.04, p &lt; 0.02, d = 0.68, Ms = 0.78 vs. 1.02, respectively. Participants in the no-UV/aging condition reported marginally higher sun protection than did control participants, F(1, 51) = 3.09, p &lt; 0.09. Participants in the other three intervention conditions reported significantly greater sun protection than those in the control condition (all Fs &gt; 4.15, ps &lt; 0.05, ds ≥ 0.6). Additional ANCOVAs revealed that none of the intervention conditions was significantly different from each other (Fs &lt; 0.82, ps &gt; 0.37). Upon examination of the mean level of sun protection, it was found that the men in the control condition, followed by those in the no-UV/aging condition, had the lowest level of sun protection. Planned comparisons again compared each condition to the control condition. Sun protection in the no-UV/aging condition was not significantly higher than those in the control condition, F(1, 52) = 2.13, p = 0.15. Participants in the other three conditions with the UV photo and/or cancer video had significantly greater sun protection than did those in the control condition (all Fs &gt; 6.95, ps ≤ 0.01, ds &gt; 0.79). Additional ANCOVAs revealed that the men in the other three conditions had significantly higher levels of sun protection at T4, controlling for T1 levels, than did those in the no-UV/aging condition (ps &lt; 0.02). When the three UV and cancer video interventions were combined and compared to the no-UV/aging and control conditions combined, the ANCOVA was also significant, F(1, 146) = 13.66, p &lt; 0.001, d = 0.72. Thus, photoaging information alone did not produce significant changes in long-term sun protection. These results indicate that the most effective interventions for this high-risk male population were those that included the UV photo and/or information related to skin cancer.</t>
  </si>
  <si>
    <t>In person, device/online</t>
  </si>
  <si>
    <t>Health Belief Model, Prototype Model of Health Behavior</t>
  </si>
  <si>
    <t>Mahler, H. I. M., Kulik, J. A., Gerrard, M., &amp; Gibbons, F. X.</t>
  </si>
  <si>
    <t>Long-Term Effects of Appearance-Based Interventions on Sun Protection Behaviors</t>
  </si>
  <si>
    <t>10.1037/0278-6133.26.3.350</t>
  </si>
  <si>
    <t xml:space="preserve">UV photographs and photoaging information (e.g., wrinkles and age spots) </t>
  </si>
  <si>
    <t>UV photography and information about photoaging (wrinkles and age spots caused by the sun)</t>
  </si>
  <si>
    <t>Undergraduate students from the University of California (Mean age = 20.13, SD = 3.38)</t>
  </si>
  <si>
    <t>Participants were randomly assigned to one of four conditions: control, UV photo, photoaging information, or UV photo plus photoaging information. The first follow-up occurred after a period of very high risk for sun exposure, namely, immediately following the summer break (4–5 months after the intervention). A second, final follow-up occurred 1 year after the intervention. Objective assessment of skin color changes (i.e., tanning) was accomplished via skin reflectance spectrophotometry. Of primary interest was whether the two appearance-based interventions (photoaging information and UV photo) would separately increase sun protection intentions and behaviors, and if so, how long any such effects on behavior would last.</t>
  </si>
  <si>
    <t xml:space="preserve">Participants’ self-reported sun protection intentions assessed immediately after the interventions, and both self-reported sun protection behaviors and an objective assessment (via spectrophotometry) of skin color change measured at the end of summer (4–5 months following interventions) and 1 year following interventions. </t>
  </si>
  <si>
    <t>Analyses of the sun protection behavior index indicated that, controlling for a highly significant positive relationship with baseline sun protective behavior, F(1, 78) = 66.06, p &lt; .001, d = 1.84, there was a marginal Video × Time effect, F(1, 79) = 3.12, p = .08, d = 0.40. Analyses of the individual follow-ups indicated that those who had versus those who had not viewed the photoaging video reported significantly more sun protective behavior at the initial postsummer assessment, F(1, 78) = 4.15, p = .045, d = 0.46, but there were no differences at the 1-year follow-up (F &lt; 1, d = 0.00; see Table 3). No effects involving the UV photo condition were significant for this measure.</t>
  </si>
  <si>
    <t>once</t>
  </si>
  <si>
    <t xml:space="preserve">Effects of Two Appearance-Based Interventions on the Sun Protection Behaviors of Southern California Beach Patrons. </t>
  </si>
  <si>
    <t>10.1207/s15324834basp2803_5</t>
  </si>
  <si>
    <t xml:space="preserve">Southern California residents
(mean age = 35.76, SD = 11.13). </t>
  </si>
  <si>
    <t>8 weeks</t>
  </si>
  <si>
    <t xml:space="preserve">Participants were randomly assigned to one of four conditions: control, UV photo, photoaging information, or both UV photo and photoaging information. </t>
  </si>
  <si>
    <t>objective assessment of skin color change (i.e., tanning) via spectrophotometry, sun protection intentions and behaviors.</t>
  </si>
  <si>
    <t>A 2 (Photoaging Information) × 2 (UV Photo) ANOVA performed on participants’ future sun protection intentions demonstrated a significant main effect for photoaging information and a marginal main effect for UV photo. Specifically, those who had read the photoaging information 2 months earlier, compared to those who had not, were still reporting significantly stronger intentions to use sun protection at the end of summer, F (1, 216) = 14.00, p &lt; .001. Also, those who had seen their UV photo 2 months earlier were reporting marginally stronger intentions to use sun protection in the future, F (1,216) = 3.16, p &lt; .08. There was also a marginal UV Photo × Photoaging Information interaction, F (1, 216) = 3.70, p &lt; .06. Paired comparisons demonstrated that participants in the control condition (who neither saw their UV photo nor read the photoaging information) expressed significantly lower sun protection intentions at follow-up than did those who received either or both interventions (p &lt; .002, p &lt; .02, p &lt; .002 for comparison with photoaging information only, UV photo only, and combined condition, respectively). Differences between the three intervention conditions were not reliable (all ps &gt; .10). Results demonstrated that reported sun protection during the summer following the intervention was significantly higher for participants’ who also reported greater baseline sun protection use, F (1, 214) = 193.87, p &lt;.001. More importantly, and independent of this relationship, those participants who had received the photoaging information reported greater overall sun protection use, relative to those who had not received the photoaging information, F (1, 214) = 8.16, p &lt; .01. However, this main effect was qualified by a significant UV Photo × Photoaging Information interaction, F (1, 214) = 5.28, p &lt; .05. Follow-up comparisons  demonstrated that participants in the control condition reportedly engaged in significantly less sun protection than either those who had seen both the UV photo and the photoaging information (p &lt; .05) or those who had received only the photoaging information (p &lt;.01), and marginally less sun protection than those who had seen only their UV photo (p &lt; .10). In addition, those who received only photoaging information reported marginally more sun protection than those who received only the UV photo (p &lt; .10). No other means differed reliably (p &gt; .10).  In accord with those previously noted results, separate regression analyses demonstrated that receiving an intervention, relative to the control condition, resulted in significantly greater immediate sun protection intentions (β coefficient = .59, SEb = .13, p &lt; .001) and greater sun protection behaviors during the subsequent summer months (β coefficient = .20, SEb = .07, p = .002). In addition, when the sun protection behavior was simultaneously regressed on intervention condition and sun protection intentions, participants’ immediate intentions significantly predicted later sun protection behaviors (β coefficient = .22, SEb= .04, p &lt; .001) while reducing the intervention effect on sun protection behavior to nonsignificance (β coefficient = .06, SEb = .07, p &gt; .35).</t>
  </si>
  <si>
    <t>Increase awareness of consequences BCT
Increase awareness of behaviour BCT</t>
  </si>
  <si>
    <t xml:space="preserve">Gibbons, F. X., Gerrard, M., Lane, D. J., Mahler, H. I. M., &amp; Kulik, J. A. </t>
  </si>
  <si>
    <t>Using UV Photography to Reduce Use of Tanning Booths: A Test of Cognitive Mediation.</t>
  </si>
  <si>
    <t xml:space="preserve">10.1037/0278-6133.24.4.358 </t>
  </si>
  <si>
    <t>Tanning-booth use</t>
  </si>
  <si>
    <t>Undergraduates randomly selected from a list of students enrolled in introductory psychology classes. As exact ages were not reported, we inferred the "mean age" as the median age of all college-attending students in the US in 2005.</t>
  </si>
  <si>
    <t>An appearance-based intervention that uses a camera with a UV filter. The camera produces a photo that reveals the normally invisible damage caused by UV exposure. Chronic exposure accelerates photoaging and produces nonuniform epidermal pigmentation, which appears in the photo as dark blotches that are quite prominent and impactful. Two studies were conducted as follow-ups and extensions to the study by Mahler et al., using a different set of mediators and a different type of UV exposure. Upon arrival at the lab, participants were randomly assigned to either a UV photo or no-UV-photo (NUV) condition. Experimenters showed UV students both pictures, pointing out the dark-splotch areas of excessive exposure (damage) in the UV photo and stating that the splotches indicated damage from UV exposure that had already been incurred. More than 90% of students had some visible damage. UV students also received a 2-min oral presentation about UV exposure in which it was explained that (a) UV exposure leads to premature skin wrinkling (photoaging) and increases risk for skin cancer, (b) skin cancer and photoaging have increased in the United States recently, and (c) most skin damage occurs before adulthood, so the college years are crucial for sun protection. NUV condition participants waited for the 2-min period. All participants then completed the primary questionnaire. Finally, there was an extensive debriefing for all students, which included information from the 2-min oral presentation. Also, all participants were given three brochures that described photoaging and melanoma and listed common sun protection methods (e.g., using sunscreen with a sun protection factor greater than 15). Thus, by the end of the study, risk information provided to the two groups was almost identical. After receiving or not receiving a copy of their UV photograph, students responded to a questionnaire that contained measures of tanning attitudes and cognitions suggested by the prototype model. They returned approximately 4 weeks later and again responded to the questionnaire and reported on their booth use since the first session. The design of Study 2 was similar to that of Study 1 except that the differences between the UV and NUV conditions were minimized—that is, the same information about UV risk was presented in both conditions and all students (not just those in the UV condition) received a natural-light photo of their faces. Also, the wording of some of the questions was changed slightly.</t>
  </si>
  <si>
    <t>Several attitude measures were taken: attitudes, prototypes, willingness, and perceived vulnerability (PV) to photoaging. Sun-protection behaviours were also measured.</t>
  </si>
  <si>
    <t>The percentage of students in the NUV condition reporting booth use increased noticeably after the experimental session (from 28% to 47%). An increase this time of year (April) is not surprising. In the UV condition, however, reported use declined (from 31% to 16%), suggesting that the photo cut use by more than two thirds. This change in behavior was partially (but significantly) mediated by the cognitions that were assessed, all of which were affected by the camera.</t>
  </si>
  <si>
    <t>Araújo M-R, Alvarez M-J, Godinho CA, Pereira C</t>
  </si>
  <si>
    <t>Psychological, behavioral, and clinical effects of intra-oral camera: a randomized control trial on adults with gingivitis</t>
  </si>
  <si>
    <t>10.1111/cdoe.12245</t>
  </si>
  <si>
    <t>Adults. As ages are bucketed, mean ages of buckets are used (e.g., "25-34 years" = 29.5 years). Age of the single participant in the "&gt;75 years" group is assumed to be 75.</t>
  </si>
  <si>
    <t>4 months</t>
  </si>
  <si>
    <t>To evaluate the effects of using an intra-oral camera (IOC) during supportive periodontal therapy (SPT), participants were randomised into two groups: IOC and control. The dental consultation, which was the same for both groups, was performed by the experienced dental hygienist, lasted 1 h and included activities that are normally part of supportive periodontal therapy (SPT). It also included specific behavior change techniques, such as reinforcement (10.4), goal-setting (1.1), and feedback (2.2, 2.7). The control group was also an active group with a communication pathway based on these strategies.</t>
  </si>
  <si>
    <t>Primary outcome: increasing gingival health verified by the Bleeding on Marginal Probing (BOMP). Secondary outcomes included effects on the self-reported frequency of dental hygiene behaviors and their relevant psychological determinants.</t>
  </si>
  <si>
    <t>A main effect of time was revealed for dental hygiene and for flossing, indicating an increase across the two periods of time (Table 1). This increase was reliable in the IOC group both for dental hygiene, F(1,76) = 53.58, P &lt; 0.001, η2 = 0.41, and flossing F(1,76) = 73.17, P &lt; 0.001, η2 = 0.49. The same trend was observed in the control group for dental hygiene, F(1,76) = 15.96, P &lt; 0.001, η2 = 0.17, and for flossing, F(1,76) = 25.71, P &lt; 0.001, η2 = 0.25. Importantly, an interaction between group and time emerged for dental hygiene and for flossing, neither of which showed any differences between the groups at baseline: Fdental hygiene (1,76) = 0.11, ns, η2 = 0.00; flossing (1,76) = 0.83, ns, η2 = 0.01 (Fig. 2). An increase in dental hygiene and flossing in both groups at 4 months was observed (Table 1), which was higher in the IOC group than in the control condition: Fdental hygiene (1,76) = 4.68, P &lt; 0.05, η2 = 0.06; Fflossing (1,76) = 4.29, P &lt; 0.05, η2 = 0.05.</t>
  </si>
  <si>
    <t>Health Action Process Approach (HAPA)</t>
  </si>
  <si>
    <t>Goal directed BCT
Increase awareness of consequences BCT
Increase awareness of behaviour BCT</t>
  </si>
  <si>
    <t>College students. As exact ages were not reported, we inferred the "mean age" as the median age of all college-attending students in the US in 2005.</t>
  </si>
  <si>
    <t>Baseline reports of prior booth use did not differ across conditions in terms of percentage using (UV = 47%, NUV = 44%) or amount of reported use (p =.20). At T2, the percentage figures were as follows: UV = 27%, NUV = 39%. A logistic regression of T2 use reports, controlling for T1 use, revealed a strong effect of previous use (Wald = 20.75, p &lt;.001) and a marginal effect of condition (Wald = 3.06, p &lt;.08, odds ratio = 2.36). Hierarchical regressions on amount of use at T2 indicated that previous use (β =.45), t(106) = 5.31, and UV condition (β = −.23), t(106) = −2.72, were both significant predictors (both ps &lt;.008); thus, viewing the photos was again associated with significantly less T2 booth use.</t>
  </si>
  <si>
    <t xml:space="preserve">Mahler, H. I. M., Kulik, J. A., Gibbons, F. X., Gerrard, M., &amp; Harrell, J. </t>
  </si>
  <si>
    <t>Effects of appearance-based intervention on sun protection intentions and self-reported behaviors</t>
  </si>
  <si>
    <t xml:space="preserve">10.1037/0278-6133.22.2.199 </t>
  </si>
  <si>
    <t xml:space="preserve">UV photography and information about photoaging (wrinkles and age spots caused by the sun)	</t>
  </si>
  <si>
    <t>Southern California residents (mean age = 35.28,SD = 9.89)</t>
  </si>
  <si>
    <t>Participants from both experiments were randomly assigned to receive or not receive a photoaging (premature wrinkling and age spots) information intervention and, separately, to receive or not receive a novel ultraviolet (UV) photo intervention that makes the negative-appearance consequences of UV exposure more salient. Photoaging information was delivered via a 12-min videotaped slide show which depicted photoaging (including very graphic photos of extreme cases of wrinkles and age spots), described how sun exposure and UV radiation from any source leads to photoaging, and discussed effective practices for minimizing photoaging (e.g., wearing protective clothing and applying a broad spectrum sunscreen that protects against UVB and UVA rays with an SPF of at least 15). The video also provided general information about sunscreen, such as what thesun protection factor (SPF) means, how much sunscreen to apply, and when to use sunscreen. UV facial photographs were taken with a modified instant Polaroid camera that has a special UV filter. Filtered UV light is absorbed by the melanin in the skin. The resulting black-and-white UV photograph highlights, quite clearly and dramatically, the nonuniform epidermal pigmentation that results from chronic sun exposure. Each person who had a UV photo taken also had a natural light instant photograph taken for comparison. In all cases, the natural light black-and-white photograph was shown to participants first, followed by the UV photograph. Participants were told that any “dark, freckled, or pitted areas” in the UV photo (that did not appear in the natural light photo) indicate existing underlying skin damage that would continue to get worse if participants did not engage in sun protection behaviors.</t>
  </si>
  <si>
    <t>Changes to sun protection intentions and behaviours</t>
  </si>
  <si>
    <t>Beach participants who saw a UV photo of their face, compared with those who did not, reported stronger intentions to use sunscreen regularly in the future,F(1, 70) = 5.47,p &lt;.03. Separate analyses that were performed on the measures of perceived rewards of tanning, perceived costs of using sunscreen, perceived severity of photoaging, perceived susceptibility to photoaging, and perceived efficacy of sunscreen for protection against photoaging generally revealed no reliable effects of either the UV photo or the photoaging interventions.</t>
  </si>
  <si>
    <t xml:space="preserve">Undergraduates from the University of California (mean age 20.13,SD = 2.55). </t>
  </si>
  <si>
    <t>A 2 (photoaging information) × 2 (UV photo) analysis of covariance (ANCOVA), with skin type and amount of sunbathing in the prior 2 weeks entered as covariates, indicated some tendency for participants with more sun-reactive skin to express greater intentions to use sunscreen (p &lt;.10) but no independent relationship of sunbathing levels in the prior 2 weeks with intentions (p &gt;.17). Those in the UV photo condition compared with those in the no UV photo condition had significantly stronger intentions to use sunscreen regularly in the future,F(1, 62) = 15.82,p &lt;.001. Participants who watched the photoaging video perceived photoaging to be a more severe condition,F(1, 64) = 3.92,p =.05, and were more convinced of the efficacy of sunscreen use for the prevention of photoaging,F(1, 64) = 4.84,p =.03, but they did not express greater self-efficacy beliefs for regular sunscreen use (p &gt;.20). Photoaging information also did not significantly influence perceptions of the rewards of tanning, costs of using sun protection, or susceptibility to photoaging (Fs &lt; 1.04). None of these analyses produced evidence of UV Photo × Photoaging Information effects (allps &gt;.25). participants' perceptions of self-efficacy for using sunscreen and perceptions of the rewards of tanning each predicted intentions (p &lt;.001 for self-efficacy,p &lt;.04 for rewards of tanning) while reducing the UV photo effect on intentions. However, in neither case was the reduction of the UV photo effect significant). Thus, we found no compelling evidence that these perceptions mediated the effect of the UV photo on intentions to use sunscreen in the future.</t>
  </si>
  <si>
    <t>Lederman J, Ballard J, Njike VY, Margolies L, Katz DL.</t>
  </si>
  <si>
    <t>Information given to postmenopausal women on coronary computed tomography may influence cardiac risk reduction efforts</t>
  </si>
  <si>
    <t>10.1016/j.jclinepi.2006.07.010</t>
  </si>
  <si>
    <t>Diet, physical activity, medication changes, smoking cessation</t>
  </si>
  <si>
    <t>DHCT scan</t>
  </si>
  <si>
    <t>Cardiac screening with double-helical computed tomography (DHCT) scan</t>
  </si>
  <si>
    <t>randomised, prospective trial</t>
  </si>
  <si>
    <t>Post-menopausal women (mean age of intervention group was 63.8 ± 7.0 years old, and the conventional screening group was 65.5 ± 6.8 years old)</t>
  </si>
  <si>
    <t>This study compared conventional cardiac risk factor screening with conventional screening plus coronary DHCT to determine their impact on behavioral risk factors in postmenopausal women. One week after the conventional screening and baseline questionnaire assessment, all subjects returned for a scripted counselling session performed by a preventive medicine resident. Based on the results of conventional screening, performed at the baseline visit, all subjects received a tailored counselling session from a preventive medicine resident physician regarding nutrition, supplement use, physical activity, weight management, smoking cessation, and appropriate use of HRT and pharmacotherapy for CHD risk reduction. This session occurred within 1 week of their conventional screening assessment. All study participants received this counselling session regardless of their assignment to DHCT or control. After the counselling session, the subjects were randomised. Subjects in the DHCT group were shown images of their coronary arteries and received an interpretation from a Griffin Hospital staff radiologist involved in the study. Based on the coronary calcification score, subjects were categorized into four risk categories (minimal/zone, mild, moderate or severe). Tthe results of the DHCT were provided to their GP, alongside recommendations to improve each patient's cardiac risk profile.</t>
  </si>
  <si>
    <t>Primary outcomes: change in blood pressure, change in glucose level, change in BMI, change in the lipid profile, and change in the coronary calcification score. Additional oucomes: change in dietary fat, fiber, and micronutrient intake; change in PA level; change in the subject's use of HRT and change in the subject's smoking status.</t>
  </si>
  <si>
    <t xml:space="preserve">The proportion of participants who increased blood pressure medication use, cholesterol medication use, and fiber intake, and reduced fat intake did not differ between treatment groups. However, the proportion of participants who increased blood pressure medication use in the conventionally screened group (13.3%) was almost twice that of the DHCT group (7.7%). The proportion of participants who increased cholesterol medication use in the conventionally screened group (20.0%) was approximately three times more than that in the DHCT group (7.7%). The percentage of subjects who increased fiber intake in the control group (28.6%) was more than two times that of the DHCT group (13.0%). The fraction of participants who decreased fat intake was more in the DHCT group (29.2%) compared to that of the conventional group (17.9%). At 6 months of follow-up, biomarker improvements measures did not differ significantly (P &gt; 0.05) between treatment groups. Outcome measures did not improve significantly (P &gt; 0.05) from baseline values in the DHCT group. In the conventional group, systolic blood pressure, total cholesterol, and low-density lipoprotein improved significantly (P &lt; 0.05) from their baseline values. The improvement observed at 12 months of follow-up from baseline differed significantly (P &gt; 0.05) between treatment groups in total cholesterol (DHCT = −3.35 ± 26.56; conventional = −20.27 ± 34.89: P-value &lt;0.05), LDL (DHCT = 1.15 ± 26.80; conventional = −17.43 ± 29.18: P-value &lt;0.05), and cholesterol/HDL (DHCT = 0.18 ± 0.57; conventional = −0.48 ± 0.87: P-value &lt;0.05). All outcome measures improved nonsignificantly (P &gt; 0.05) from baseline values in the DHCT group. In the conventionally screened group, total cholesterol, LDL, and total cholesterol to HDL ratio improved significantly (P &lt; 0.05) from their baseline values. </t>
  </si>
  <si>
    <t>Social support BCT
Increase awareness of consequences BCT
Outcome consequence BCT</t>
  </si>
  <si>
    <t xml:space="preserve">Harris, R., Lowers, V., Laverty, L. et al. </t>
  </si>
  <si>
    <t xml:space="preserve">Comparing how patients value and respond to information on risk given in three different forms during dental check-ups: the PREFER randomised controlled trial. </t>
  </si>
  <si>
    <t>10.1186/s13063-019-3824-3</t>
  </si>
  <si>
    <t>Quantitative light fluorescence (QLF) photograph of the patient’s mouth</t>
  </si>
  <si>
    <t xml:space="preserve">RCT </t>
  </si>
  <si>
    <t>Adults at medium/high risk of poor oral health. Ages are reported in buckets--for overall mean age estimation, mean age of buckets are used (e.g., "18-34 years old" = 26 years old); mean age of the "65+ years" is approximated to 70.</t>
  </si>
  <si>
    <t>After receiving their check-up, patients were randomised to recieve different oral health risk information (verbal advice (V) compared to verbal advice accompanied by a traffic light (TL) risk card; or compared to verbal advice with a quantitative light fluorescence (QLF) photograph of the patient’s mouth). In the TL arm, dentists gave patients either small Red or Amber risk cards which had a message on the reverse about how to reduce their oral health risk. This was explained by the dentist, who ticked the boxes which were most relevant to that patient. In the QLF arm, patients were shown a QLF photograph of their anterior teeth and received a copy printed as a credit card, the back of which again contained messages about how to reduce their risk. Dentists explained the photograph to patients – explaining any dark (demineralised) or red (mature plaque) areas on the picture. Dentists gave usual care (V) with a card containing the checked list of any messages covered. Follow-up was by telephone/e-mail at 6 and 12 months.</t>
  </si>
  <si>
    <t>The primary outcome was willingness to pay (WTP). Secondary outcomes included self-rated oral health and change in oral health behaviours (tooth-brushing, sugar consumption and smoking).</t>
  </si>
  <si>
    <t>Using multivariate generalised linear mixed models, no significant effect in oral health behaviours (smoking; brushing frequency; brushing duration; sugar in food; sugar in drinks; sugar added to drinks) was found for any of the information arms between baseline and 6-month follow-up (F = 0.84, p = 0.432) or between baseline and 12 months (F = 1.90, p = 0.150). Analysis using MANCOVAs to test whether there were information-type intervention interaction effects with potential moderators (gender, age, income, education, IMD number of teeth, dental attendance and practice attended) showed none, at either 6-month or 12-month follow-up.</t>
  </si>
  <si>
    <t xml:space="preserve">Chekima, K., Noor, M. I., Ooi, Y. B. H., Yan, S. W., Jaweed, M., &amp; Chekima, B. </t>
  </si>
  <si>
    <t xml:space="preserve">Utilising a Real-Time Continuous Glucose Monitor as Part of a Low Glycaemic Index and Load Diet and Determining Its Effect on Improving Dietary Intake, Body Composition and Metabolic Parameters of Overweight and Obese Young Adults: A Randomised Controlled Trial. </t>
  </si>
  <si>
    <t xml:space="preserve">10.3390/foods11121754 </t>
  </si>
  <si>
    <t>Blood glucose, blood lipids, HbA1c</t>
  </si>
  <si>
    <t>Blood glucose, HbA1c, insulin, total cholesterol (TC), high-density lipoprotein (HDL), low-density lipoprotein (LDL), triglyceride (TG) and TC/HDL cholesterol ratio. Insulin resistance was assessed using homeostasis model assessment (HOMA-IR). </t>
  </si>
  <si>
    <t>Non-diabetic overweight or obese individuals (mean age 25.5 +/- 5.5)</t>
  </si>
  <si>
    <t>2 months</t>
  </si>
  <si>
    <t xml:space="preserve">Both the intervention and control groups received nutrition education aimed at modifying daily dietary intake to low glycaemic index (GI) and glycaemic load (GL) foods. The intervention group also received a real-time continuous glucose monitor (rtCGM) system, with two 14-day sensors, to observe their glucose levels. The sensors were worn during the first and last 14 days of the intervention. 3-day food diaries were taken at baseline (day 2-4) and days 43-45. 
</t>
  </si>
  <si>
    <t>GI and GL knowledge, dietary behaviour change. Dietary behaviour changes. Anthropometric changes. FPG, HbA1c, plasma lipids, insulin resistance.</t>
  </si>
  <si>
    <t>The control and intervention arms both saw significant increases in GI and GL knowledge. The control group had a greater change in knowledge scores, but this was not statistically significant.  
Dietary changes were evident in both groups. The total energy (E) intake between the groups did not indicate any significant difference. Both the carbohydrate (CHO) intake in grams and % total E intake were significantly lower in the intervention group. There was no significant difference in protein as grams or %E. Fat intake increased in the intervention group and decreased, leading to a significant difference of 7.8 g. GI of the intervention group reduced to 42.9 ± 4.1 (mean ± SD) and the control group to 51.3 ± 4.5, a significant difference of 10 points change from baseline between the groups. GL for the intervention group was 78.3, whereas for the control group was 95.8, indicating a significant difference from baseline of −19.9. 
Both groups had significant reductions in body weight, BMI and fat mass. The intervention group had significantly greater weight loss than the control group with a mean difference of −0.8 kg. Fat mass was significantly reduced in the intervention group by a mean difference of −0.7 kg compared to the control group. Other parameters including BMI, muscle mass and visceral fat indicated no significant difference across time between the groups.   
FPG decreased in the intervention group (mean change: 0.3 mmol/L) but not the control group. A slight but significant reduction in HbA1c was reported in both groups. Insulin control parameters, fasting insulin and HOMA-IR indicated no significant difference.</t>
  </si>
  <si>
    <t>Prompt thinking related to successful performance BCT
Monitoring BCT
Increase awareness of consequences BCT
Guide how to perform behaviour BCT</t>
  </si>
  <si>
    <t>BCT2.7 Feedback on outcome(s) of behaviour</t>
  </si>
  <si>
    <t xml:space="preserve">Samaan, Z., Schulze, K. M., Middleton, C., Irvine, J., Joseph, P., Mente, A., Shah, B. R., Pare, G., Desai, D., Anand, S. S., &amp; SAHARA Investigators </t>
  </si>
  <si>
    <t>South Asian Heart Risk Assessment (SAHARA): Randomized Controlled Trial Design and Pilot Study</t>
  </si>
  <si>
    <t>10.2196/resprot.2621</t>
  </si>
  <si>
    <t>Diet, Physical activity, SB, smoking cessation</t>
  </si>
  <si>
    <t>Genetic, HbA1c, blood pressure, anthropometrics</t>
  </si>
  <si>
    <t xml:space="preserve">HbA1c, BP, apolipoprotein B-to-A1 ratio, genetic CVD risk information (9p21 genotype), anthropometric measures </t>
  </si>
  <si>
    <t xml:space="preserve">RCT designed pilot study </t>
  </si>
  <si>
    <t xml:space="preserve">Individuals of South Asian ancestry living in Canada  </t>
  </si>
  <si>
    <t xml:space="preserve">Participants were given a personalised risk score for myocardial infarction (MI), which combined genetic CVD risk information (9p21 genotype) information, blood based- biomarkers, BP, anthropometric measures and lifestyle factors such as smoking, second-hand smoke exposure, abdominal obesity, physical inactivity, diet, and psychosocial factors. Risk scores were colour coded into low, moderate or high risk of MI. Intervention and control groups received the same baseline assessment, communication of risk scores (via website) and usual care. The intervention group also choose a health goal on the website including healthy diet, PA, reducing sedentary behaviours (SB), and smoking cessation. They were prompted to update their goals weekly. Participants received daily health messages, tailored to their chosen health goal.  Follow up occured after 6 months. </t>
  </si>
  <si>
    <t>Positive behavioral changes associated with reduced MI risk factors, and the effectiveness and acceptability of information communicated by individualized MI and genetic risk score</t>
  </si>
  <si>
    <t xml:space="preserve">Both the intervention and control group had significant reductions in BP and self-reported stress and depression compared to baseline. Additionally, both groups had improved PA levels and a reduction in fried food and snack consumption.  Both groups had a reduction in their personalised risk scores, however, only the intervention groups reduction was statistically significant.  
Overall while participants reported appreciating receiving their risk information, the recall between baseline and end of study of risk status was low.  </t>
  </si>
  <si>
    <t>Goal directed BCT
Social support BCT
Guide how to perform behaviour BCT
Increase awareness of consequences BCT
Outcome consequence BCT</t>
  </si>
  <si>
    <t xml:space="preserve"> </t>
  </si>
  <si>
    <t>USHER-SMITH ET AL.</t>
  </si>
  <si>
    <t>Price, H.C., Griffin, S.J. and Holman, R.R.</t>
  </si>
  <si>
    <t xml:space="preserve">Impact of personalized cardiovascular disease risk estimates on physical activity—a randomized controlled trial. </t>
  </si>
  <si>
    <t>10.1111/j.1464-5491.2010.03212.x</t>
  </si>
  <si>
    <t>Blood pressure, lipids, glucose, HbA1c</t>
  </si>
  <si>
    <t>Blood pressure, LDL cholesterol, HbA1c, fasting blood glucose</t>
  </si>
  <si>
    <t>Adults (19% having known diabetes).</t>
  </si>
  <si>
    <t xml:space="preserve">Participants were randomised to receive a personalized 10-year cardiovascular disease risk estimate (N=99) or to receive the control intervention (N=95). Participants randomized to receive a risk estimate had their 10-year cardiovascular disease and fatal cardiovascular disease risks estimated using the UK Prospective Diabetes Study Risk Engine. An interface was developed for this risk calculator with the aim of achieving maximal comprehension by participants. This displayed current risk and also ‘achievable risk’. Achievable risk was the risk estimate calculated assuming current targets for systolic blood pressure, LDL cholesterol, HbA1c and smoking cessation (if applicable) were met. A printout of current and achievable risk was provided to participants randomized to receive a personalized 10-year risk estimate at the time the intervention was delivered. General practitioners were only provided with risk estimates once a participant had completed the study. The control group were told their fasting glucose level, blood pressure and LDL cholesterol and informed if they were elevated according to current guidelines. A written record of these results was also provided.
Next, both the risk estimate and control groups were randomised into two groups, half receiving a brief lifestyle advice intervention. The half not randomized to receive the brief lifestyle advice intervention received no intervention and no written materials. The brief lifestyle advice intervention was a computerized slide show, which participants worked through themselves and that aimed to motivate behaviour changes designed to reduce cardiovascular disease risk through the setting of goals and the steering of behaviour towards their achievement. 
Goal setting was encouraged to fit in with other factors in participants’ lives, including family and financial constraints. Whilst the slides encouraged participants to consider barriers to achieving lifestyle change and to set their own goals, these were not discussed with the investigators. It took approximately 15 min for each participant to work through the presentation.
The intervention stressed that even small changes in behaviour were beneficial to health and focused on increasing physical activity, fruit and vegetable consumption, decreasing alcohol intake and smoking cessation if necessary. The physical activity goal was 30 min of brisk walking per day in line with current guidelines and the fruit and vegetable goal was five portions per day. A reduction in alcohol consumption was advised if current intake was above UK government recommendations (not more than 3–4 units per day for men and 2–3 units per day for women).
At the end of the computer presentation, participants were given a leaflet repeating the advice they had been given. </t>
  </si>
  <si>
    <t>Primary outcome: Physical activity. Secondary outcomes: anthropometric and biochemical measurements. Tertiary outcomes: impact of the intervention on anxiety, quality of life, self-regulation, worry about future risk of heart attacks, intention to increase physical activity and recall of risk information given.</t>
  </si>
  <si>
    <t>53% of participants increased their physical activity by 30×10−3 total counts per day overall. Non-significant net 0.5% (95% CI −0.6–1.8%) (8×10−3 total counts per day) (P=0.56) greater increase in accelerometer counts in those receiving personalized cardiovascular disease risk estimates.
No significant within- or between-group differences were seen in weight, blood pressure, HDL cholesterol, triglycerides, estimated 10-year cardiovascular disease risk, plasma vitamin C or serum cotinine in smokers.</t>
  </si>
  <si>
    <t>Device/Online, Written information</t>
  </si>
  <si>
    <t>Increase awareness of consequences BCT
Goal directed BCT
Outcome consequence BCT</t>
  </si>
  <si>
    <t xml:space="preserve">SHERIDAN ET AL. </t>
  </si>
  <si>
    <t>10.1001/archinternmed.2009.516</t>
  </si>
  <si>
    <t>Williams GC, McGregor H, Sharp D, Kouldes RW, Lévesque CS, Ryan RM, Deci EL</t>
  </si>
  <si>
    <t>10.1111/j.1525-1497.2006.00621.x</t>
  </si>
  <si>
    <t>Diet, smoking cessation</t>
  </si>
  <si>
    <t>Blood lipids, blood pressure</t>
  </si>
  <si>
    <t>LDL-C, BP</t>
  </si>
  <si>
    <t>Adult smokers</t>
  </si>
  <si>
    <t>Patients were randomly assigned to community care (CC, 30%) and intensive tobacco treatment (70%). The randomisation was stratified by whether a dietary intervention was indicated based on the National Cholesterol Education Program's (NCEP's) LDL-C goals. 20 Patients who were at LDL-C goal were randomized to tobacco intervention or CC. Patients not at LDL-C goal were randomized to (1) tobacco and dietary intervention, (2) tobacco intervention and dietary CC, or (3) community care for both tobacco and diet. The intervention groups recieved a 6-month clinical intervention (4 contacts) to facilitate internalisation of autonomy and perceived competence for tobacco abstinence and reduced percent calories from fat was compared with community care. Clinicians elicited patient perspectives and goals, provided absolute coronary artery disease risk estimates, advised on effective treatment options, supported patient initiatives, supported patient autonomy, assessed motivation for change, and developed a plan for change. Patients randomized to CC completed questionnaires and then received the National Cancer Institute booklet “You Can Quit Smoking,” a copy of their cholesterol test results, the American Dietetic Association booklet on elevated cholesterol “The New Cholesterol Countdown,” and a list of active area smoking cessation programs. They were encouraged to enroll in a cessation program and to meet with their physician.</t>
  </si>
  <si>
    <t>Twelve-month prolonged tobacco abstinence, and change in percent calories from fat and low-density lipoprotein-cholesterol (LDL-C) from baseline to 18 months.</t>
  </si>
  <si>
    <t xml:space="preserve">The primary outcome of 12-month prolonged abstinence was significantly higher in the intervention condition (6.2% vs 2.4%, P=.01, Number Needed to Treat [NNT]=26.3). The mean days since last cigarette (37.30 vs 17.58, P=.01) and the longest time not smoking (59.05 vs 28.88 days, P&lt;.001) were greater for the intervention group. The intensive treatment patients perceived greater autonomy support at 1 month (P&lt;.001 by t-test), and internalized greater autonomous motivation for cessation (P&lt;.05 by ANCOVA), for taking medications (P=.001), and greater perceived competence (P&lt;.001) from baseline to 6 months. Abstinence rates were the same for the smoking intervention alone compared with the smoking and diet intervention, so all smoking intervention patients were analyzed together. In addition to group assignment, 12-month abstinence was significantly predicted by: 1-month autonomy support (odds ratio [OR]=1.69; 95% confidence interval [CI]: 1.15, 2.49), change in autonomous motivation for cessation (OR=1.65; 95% CI: 1.05, 2.58), change in perceived competence (OR=2.89; 95% CI: 2.13, 3.93), and the days of medication use in 6 months (OR=1.01; 95% CI: 1.010, 1.012). Change in autonomous motivation for taking medications from baseline to 1 month predicted 12-month abstinence (OR=1.39; 95% CI: 1.07, 1.82), but change to 6 months did not. There was no difference in change in percent calories from fat from baseline to 18 months between the groups (+0.92% vs +0.17%, P=.39). However, reduction in LDL-C from baseline to 18 months was significantly greater in the intervention compared with CC group (–8.9 vs –4.1 mg/dL; P=.05).
There was no effect of the diet intervention on the motivation variables, and thus the intervention and CC groups were combined for further analyses. Linear regression analyses revealed a marginally significant effect of autonomy support on change in percent calories from fat from baseline to 18 months (P=.09), and change in autonomous motivation for diet from baseline to 6 months negatively predicted change in percent calories from fat from baseline to 18 months (β=−0.18, P&lt;.05). Change in perceived competence for dietary change did not predict change in the percent calories from fat (P=.19). There was no predictive effect of autonomy support (P=.18), change in autonomous motivation (P=.29), or change in perceived competence (P=.13) on 18-month change in LDL-C. Thus, only change in autonomous motivation for diet predicted reduction in percent calories from fat </t>
  </si>
  <si>
    <t>Self-determination theory</t>
  </si>
  <si>
    <t>Social support BCT
Increase awareness of consequences BCT
Goal directed BCT</t>
  </si>
  <si>
    <t xml:space="preserve">Sheridan, S.L., Shadle, J., Simpson, R.J. et al. </t>
  </si>
  <si>
    <t>The impact of a decision aid about heart disease prevention on
patients' discussions with their doctor and their plans for
prevention: a pilot randomized trial</t>
  </si>
  <si>
    <t>10.1186/1472-6963-6-121</t>
  </si>
  <si>
    <t>Diet, Physical activity, medication changes, smoking cessation</t>
  </si>
  <si>
    <t>Blood pressure, blood lipids, ECG</t>
  </si>
  <si>
    <t>Blood pressure, total and HDL cholesterol, ECG</t>
  </si>
  <si>
    <t>Adults (Mean age 53, SD 9)</t>
  </si>
  <si>
    <t>All patients in the intervention group reviewied the computerized decision aid, Heart to Heart (version 1), which 1) calculates a patient's global risk of CHD events (e.g. angina, myocardial infarction, and death) in the next 10 years by combining information about their age, sex, blood pressure, total and HDL cholesterol, smoking, diabetes, and left ventricular hypertrophy (LVH) status using a continuous Framingham equation; 2) provides patients with individualized information about their global CHD risk, their personal risk factors, the pros and cons of pertinent CHD risk-reducing therapies (e.g. hypertension medication, cholesterol medication, smoking cessation, and aspirin), and the risk reduction achievable after one or more therapeutic interventions; and 3) encourages patients to choose therapies that are acceptable and feasible for long-term CHD risk reduction. The tool encourages a good diet and regular exercise for everyone, but doesn't provide information on how these interventions modify CHD risk. It also provides a summary print-out that can be taken to one's visit with his or her doctor. To assist patients in using Heart to Heart, a research assistant compiled a list of each patient's most recent risk factor information (e.g. most recent blood pressure, most recent total and HDL cholesterol, and electrocardiogram or echo-reported evidence for LVH in the last 3 years) from their medical record and provided it to the patient for use during the decision aid session. Patients then navigated the decision aid at their own speed from computers in the patient education room of our internal medicine clinic. These computers were in a private setting and equipped with a standard keyboard and mouse to facilitate individual input and response. A research assistant was available at all times to answer any questions about decision aid navigation.
Patients randomized to the control group received only a list of their CHD risk factors that they could present to their doctor. This list included both qualitative identification of the risk factors and, where appropriate, a quantitative value for the following risk factors: blood pressure, total and HDL cholesterol, smoking, diabetes, and left ventricular hypertrophy (LVH) status.</t>
  </si>
  <si>
    <t>Intention to adopt risk-reduction behaviours (in subsequent 6 months), conversations with healthcare provider, knowledge about effective CHD prevention strategies</t>
  </si>
  <si>
    <t>In unadjusted analysis, 16% (absolute difference; 95% CI -4 to +37%) more patients in the decision aid group talked with their provider about CHD risk reduction and 13% (absolute difference; 95% CI -7% to +34%) more had a specific plan to reduce their CHD risk. When plans were examined more broadly (e.g. including those who independently made a plan, but didn't talk with their doctor), results were similar (absolute difference +16%; 95% CI -1% to 33%). There were too few patients in the study to support adjusted analyses.</t>
  </si>
  <si>
    <t>MARTEAU ET AL</t>
  </si>
  <si>
    <t>Marteau, T., Senior, V., Humphries, S.E., Bobrow, M., Cranston, T., Crook, M.A., Day, L., Fernandez, M., Horne, R., Iversen, A., Jackson, Z., Lynas, J., Middleton-Price, H., Savine, R., Sikorski, J., Watson, M., Weinman, J., Wierzbicki, A.S. and Wray, R.</t>
  </si>
  <si>
    <t>Psychological impact of genetic testing for familial hypercholesterolemia within a previously aware population: A randomized controlled trial</t>
  </si>
  <si>
    <t>10.1002/ajmg.a.30102</t>
  </si>
  <si>
    <t>Diet, smoking cessation, medication changes</t>
  </si>
  <si>
    <t>Genetic</t>
  </si>
  <si>
    <t>Point mutations in the LDLR gene</t>
  </si>
  <si>
    <t>Families, comprising 341 primary participants and 128 adult relatives</t>
  </si>
  <si>
    <t xml:space="preserve">Participants randomized to one of two groups: (a) routine clinical diagnosis; (b) routine clinical diagnosis plus genetic testing (mutation searching in probands and direct gene testing in relatives). </t>
  </si>
  <si>
    <r>
      <rPr>
        <sz val="11"/>
        <color rgb="FF000000"/>
        <rFont val="Aptos Narrow"/>
        <scheme val="minor"/>
      </rPr>
      <t>Primary outcomes
Perceptions of control were assessed using four internally consistent scales (alphas &gt;0.70) assessing perceived control over (a) FH, (b) cholesterol, (c) heart disease, and (d) fatalism about FH. The five-item perceived control over FH scale and the six-item fatalism about FH scale were taken from the Revised Illness Perceptions Questionnaire. The two-item perceived control over cholesterol and two-item perceived control over heart disease scales were developed in a pilot study specifically for this study.
Secondary outcomes
Risk-reducing behavior: Standardized measures were used to assess self-reports of smoking, diet, activity level, and cholesterol-lowering medication adherence. Illness and treatment perceptions, Perceptions of the genetic report, and Emotional state were also measured.</t>
    </r>
  </si>
  <si>
    <t>There were no differences in smoking, diet, exercise, and medication adherence among the three groups, 6 months after the diagnostic assessment.</t>
  </si>
  <si>
    <t>Chao S, Roberts JS, Marteau TM, Silliman R, Cupples LA, Green RC.</t>
  </si>
  <si>
    <t>Health behavior changes after genetic risk assessment for Alzheimer disease: The REVEAL Study</t>
  </si>
  <si>
    <t>10.1097/wad.0b013e31815a9dcc</t>
  </si>
  <si>
    <t>ApoE variant</t>
  </si>
  <si>
    <t>Adult children of patients with AD</t>
  </si>
  <si>
    <t xml:space="preserve">Participants were randomized to either intervention (APOE disclosure) or control (no
genotype disclosure) groups. Subjects in both groups received numerical lifetime risk estimates of future AD development based on sex and family history of AD. The intervention group received their APOE genotype. Subjects were informed that no proven preventive measures for AD existed and given an information sheet on preventative therapies under investigation. One year after disclosure, participants were asked 3 questions related to health behavior changes made specifically for the purpose of AD prevention. </t>
  </si>
  <si>
    <t>Changes in diet, changes in PA, or changes in medications and/or vitamins.</t>
  </si>
  <si>
    <t xml:space="preserve"> At 12 months, ε4+ participants were significantly more likely than both ε4− participants (52% vs. 24%, P = 0.003) and control participants (52% vs. 30%, P = 0.03) to endorse any AD-specific health behavior change. Of the 3 health behaviors surveyed, ε4+ participants most commonly endorsed changing their medications or vitamins for the purpose of preventing AD. An analysis of open-ended responses to this questionnaire item indicated that adding vitamin E was the most common change in this area.</t>
  </si>
  <si>
    <t>Written communication</t>
  </si>
  <si>
    <t>HACKAM ET AL</t>
  </si>
  <si>
    <t>10.1001/archinternmed.2011.69</t>
  </si>
  <si>
    <t xml:space="preserve">Bovet P, Perret F, Cornuz J, Quilindo J, Paccaud F. </t>
  </si>
  <si>
    <t>Improved smoking cessation in smokers given ultrasound photographs of their own atherosclerotic plaques.</t>
  </si>
  <si>
    <t>10.1006/pmed.2001.0976</t>
  </si>
  <si>
    <t>Smoking cessation</t>
  </si>
  <si>
    <t>Ultrasound</t>
  </si>
  <si>
    <t>Ultrasound - carotid and femoral arteries</t>
  </si>
  <si>
    <t>Smokers selected from the general population were randomly allocated to undergo high-resolution B-mode ultrasonography of their carotid and femoral arteries. Thus, participants were divided into 3 groups, smokers not randomized to sonography and not shown a plaque (group A); smokers randomized to ultrasonography with no plaque identified, hence not shown a plaque (group B); and smokers randomized to ultrasonography with at least one plaque, hence shown a plaque (group C). All smokers received quit-smoking counselling. Smokers with &gt; or =1 atherosclerotic plaque were given two photographs of a plaque with a relevant explanation. Quit rates were assessed by telephone 6 months later.</t>
  </si>
  <si>
    <t>Seventy-nine smokers did not undergo ultrasonography (A). Among the 74 smokers submitted to ultrasonography, 20 had no plaque (B) and 54 had &gt; or =1 plaque (C). Quit rates were, respectively, 6.3, 5.0, and 22.2% in groups A, B, and C. Quit rates were higher in smokers submitted to ultrasonography (B + C vs A; P = 0.031) and in those receiving photographs (C vs A + B; P = 0.003). Smoking cessation was independently associated with intervention C (OR = 6.2; 95% CI = 1.8-21) and a white-collar job but not with age or gender.</t>
  </si>
  <si>
    <t xml:space="preserve">VIRON ET AL. </t>
  </si>
  <si>
    <t xml:space="preserve">Ito H, Matsuo K, Wakai K, Saito T, Kumimoto H, et al. </t>
  </si>
  <si>
    <t>An intervention study of smoking cessation with feedback on genetic cancer susceptibility in Japan</t>
  </si>
  <si>
    <t>10.1016/j.ypmed.2005.10.006</t>
  </si>
  <si>
    <t>Genetic - L-myc genotype</t>
  </si>
  <si>
    <t>Adults smokers, 1st-visit outpatients at Aichi Cancer Center Hospital (about 70% of the outpatients do not have any cancer)</t>
  </si>
  <si>
    <t>Participants were divided into two groups: the biomarker feedback group (BF) and the follow-up smoking status group (FS). The subjects were asked for their smoking status at enrolment and at 3- and 9-month follow-ups. BF subjects were notified about their L-myc genotype. L-myc is a member of the myc gene family, which also includes c-myc and N-myc. The SS genotype of the L-myc EcoRI polymorphism has been reported to be a marker for tumor prognosis with lung and possibly other types of cancers, associated with susceptibility to neoplasia overall. This L-myc polymorphism modifies the effects of smoking on esophageal and lung cancer risk while having no significant influence in itself - Individuals with the LS/SS genotypes were highly susceptible to development of the above cancer types only when they were exposed to cigarette smoking. As part of the consent procedure, a trained interviewer explained the effects of L-myc polymorphism on modulating the cancer risk due to smoking using a flip chart with graphically displayed information for the BF participants. The information they were given was as follows:
1. Those with the risky genotypes have enhanced risk for lung or esophageal cancer if they continue smoking compared with the non-risky genotype;
2. The risk for smokers with risky genotypes can be reduced by stopping smoking;
3. The L-myc polymorphism is not the only modifier of the cancer risk. The FS participants were just followed-up for their smoking status and received no intervention for smoking cessation as well as no information on the L-myc polymorphism.</t>
  </si>
  <si>
    <t>For the subjects without cancer for both sexes, the rates of prevalent abstinence were not significantly higher in the BF group (12.7%) than in the FS group (8.4%). The ORs for smoking abstinence at each time point were above unity, indicating increased abstinence in the BF but without statistical significance. For the subjects with cancer, the tendency for abstinence at each time point was opposite to the case for individuals without cancer, albeit without significance. In the sex-stratified analysis, the rates of abstinence among males without cancer at the 9-month follow-up were similar in the two groups (12.3% in the FS and 11.0% in the BF). However, among females without cancer, the rate of abstinence at the 9-month follow-up in the BF was significantly higher (15.0%) than in the FS (5.0% and 4.2%, respectively, OR, 3.59, 95% CI 1.19–10.9). More participants in the BF quit smoking newly at 9-month follow-ups, compared with those among the FS (OR 4.91, 0.92–26.3) for the females without cancer. The trends in all participants were similarly observed, although no impact was evident compared non-cancer subjects. Adjusted ORs for smoking cessation at 9-month follow-up of the FS, and the BF with the information about their genotype, stratified for the L-myc genotype (L-myc LS/SS (risky genotype), n = 167 and LL (non-risky genotype), n = 55): among participants without cancer, the OR for the risky genotypes was significantly increased (OR 2.87, 1.41–5.81) for the BS group compared to the FS group. The abstinence rate for the males with a non-risky genotype was lower than that for the FS, although without significance. None of the non-cancer males with the non-risky genotype quit smoking, while 18.8% of non-cancer males with the risky genotypes did so. For females without cancer, rates of smoking cessation with the risky and the non-risky genotypes were higher than those among the FS group (23.0%, 23.1% and 4.2%, respectively). The ORs were 7.34 (1.64–48.8) and 5.56 (1.64–18.8), respectively, compared with those in the FS. The results among all participants were similar to those among those without cancer. Not effective, however when stratified by sex and cancer status, some effects in females and individuals without cancer.</t>
  </si>
  <si>
    <t xml:space="preserve">Hishida, A., Terazawa, T., Mamiya, T., Ito, H., Matsuo, K., Tajima, K., &amp; Hamajima, N. </t>
  </si>
  <si>
    <t>Efficacy of genotype notification to Japanese smokers on smoking cessation—an intervention study at workplace.</t>
  </si>
  <si>
    <t>10.1016/j.canep.2009.11.008</t>
  </si>
  <si>
    <t>intervention study</t>
  </si>
  <si>
    <t>Employees of a bank who smoke. As age is bucketed, mean ages of buckets are used (e.g., "30-39 years" = 34.5 years). Ages above 60 are estimated as 65.</t>
  </si>
  <si>
    <t>The effects of genotype notification of an oncogene (L-myc) genotype to smokers on their behavior to quit smoking. Subjects were employees of a bank, who answered to be a smoker for a qestionnaire used at annual health checkup at workplace from July to December in 2002. Informed consent of genotype notification was obtained individually from each smoker after handing the participants a booklet named “Smoking and genetic polymorphism: what is the genetic traits to cause tobacco-related diseases. Hi smokers! Can your genes bear tobacco?”. The booklet was made of eight colored pages including information on tobacco-related diseases, genetic polymorphisms in general, concept of tobacco carcinogen susceptible genotypes, CYP1A1, GSTM1, L-myc, relative risk of L-Myc genotype for esophageal cancer, genotypes associated with nicotine dependence, damages caused by smoking, and benefits of smoking cessation. The information given about the L-myc genotype in this booklet is as follows: "L-myc gene has a missense G/T polymorphism at nucleotide position 2886, G/G, G/T and T/T genotype of which is called LL, LS and SS genotype, respectively. Our case–control study at Aichi Cancer Center revealed that the OR of esophageal cancer for smoking was 7.57 in SS, 6.40 in LS and 1.77 in LL, respectively". In three months (August, October and December in 2002), 257 participants (89.9%) among 286 smokers invited (“intervention group”) agreed to genotype testing. Blood samples were numbered in a manner corresponding to the questionnaire, but the name of participants was not attached to the tubes of the blood sample. The health staff recorded the number for each participant. In the other three months (July, September and November in 2002), all 276 smokers agreed to be followed up as a control group. Three months after the enrollment, genotype reports were sent in sealed envelopes to the section of health management. In the reports, the explanation was attached that smoking elevates the risk of esophageal cancer substantially among those with SS (OR = 8) and LS (OR = 7), while OR = 2 among those with LL genotype, and similar for lung cancer. Additionally, the explanation that there are many genotypes associated with the susceptibility of smoking was provided. The staff (public nurses) handed the report to each participant without opening the envelope according to the number specified on the envelope. They added general comments on the genotype for each participant, and provide specific comments when participants asked the details. Strong messages to quit smoking were not included their explanation.</t>
  </si>
  <si>
    <t>One year after the enrollment, a follow-up questionnaire about the stage of change was conducted for all participants.</t>
  </si>
  <si>
    <t>Those who stated to have quitted smoking were 22 (8.0%) among the 276 controls and 15 (5.8%) among the 257 genotype notified participants. The difference in the cessation rate between the two groups was not significant (p = 0.395). When 29 smokers who refused genotype tests were regarded as non-quitters, the cessation rate of whole intervention group was 5.2% (p = 0.234 in comparison with the rate among the controls). The OR of cessation for the intervention adjusted by age, sex and stage at enrollment was not statistically significant (OR = 0.64, 95% CI 0.32–1.28, p = 0.209). Among non-quitters, the difference in the stage of smokers at one year after enrollment between the two groups was not significant (χ2 = 0.961 d.f. = 3, p = 0.811). In both groups, the subjects in the stage of “wish to quit” (11.8% in the intervention group and 11.1% in the controls) tended to have a high cessation rate compared with “no concern” (0.0% and 4.3%, respectively) or “no intention” (6.2% and 8.2%) group, although statistically not significant. Cessation rates did not differ significantly according to L-myc genotype (5.6% in LS and 7.1% in SS, compared with 4.9% in LL; p = 1.000 and p = 0.723, respectively). As for the responses to genotype notification, those who felt “anxious” after notification showed an insignificantly higher cessation rate than those who felt “relieved” after notification (6.7% in “anxious” and 3.6% in “relieved”; p = 1.000). Those who stated “relieved” was 41.0% in LL, 2.4% in LS, and 0.0% in SS; the percentage for LL was significantly higher than that for LS or SS (p &lt; 0.001 and p &lt; 0.001, respectively). Those who stated “anxious” was 11.5% in LL, 31.0% in LS, and 41.4% in SS; the percentage for LS or SS was significantly higher than that for LL (p = 0.004 and p &lt; 0.001, respectively). There were no claims or consultations on genotype to the health management section, and serious responses of the genotype-notified participants were not observed throughout the study.</t>
  </si>
  <si>
    <t>McBride, C. M., Bepler, G., Lipkus, I. M., Lyna, P., Samsa, G., Albright, J., ... &amp; Rimer, B. K. (2002)</t>
  </si>
  <si>
    <t xml:space="preserve">Incorporating genetic susceptibility feedback into a smoking cessation program for African-American smokers with low income. </t>
  </si>
  <si>
    <t>https://aacrjournals.org/cebp/article/11/6/521/166621/Incorporating-Genetic-Susceptibility-Feedback-into</t>
  </si>
  <si>
    <t>Genetic - GST3</t>
  </si>
  <si>
    <t>Current smokers</t>
  </si>
  <si>
    <t xml:space="preserve">Eligible smokers randomised in a 1:2 ratio to Enhanced Usual Care or Biomarker Feedback (BF). Surveys were conducted at baseline, 6, and 12 months later. All smokers received a self-help manual and, if appropriate, nicotine patches. Smokers in the BF arm also were offered a blood test for genotyping the GST3 gene (GSTM1), sent a test result booklet, and called up to four times by a health educator. </t>
  </si>
  <si>
    <t>Prevalent abstinence was assessed by self-report of having smoked no cigarettes in the prior 7 days at the 6- and 12-month follow-ups and sustained abstinence, i.e., not smoking at either follow-up or in-between</t>
  </si>
  <si>
    <t>Efforts to biochemically confirm self-reported cessation were unsuccessful. Only 39% (24 of 61) of those who reported abstinence and agreed to provide a saliva sample returned one. Rates of return did not differ between the two arms (P = 0.78). Thus, trial outcomes are based on self-reported cessation. Smoking cessation was greater for the BF arm than the Enhanced Usual Care arm (19% versus 10%, respectively; P &lt; 0.006) at 6 months but not at 12 months. Cessation rates among those with heightened susceptibility to lung cancer (GSTM1 missing, n = 104) were compared with those with results that indicated they were not “susceptible” (GSTM1 present, n = 204). Rates of prevalent and sustained abstinence for those with the enzyme missing or present did not differ significantly at follow-up: 6 months, 17 and 23%, respectively; 12 months, 18 and 15%; sustained, 12 and 12%. Among those who declined the test, rates of prevalent abstinence at 6 and 12 months and sustained abstinence were substantially lower (11, 11, and 5% for each outcome and time point, respectively).</t>
  </si>
  <si>
    <t>Telephone, written communication</t>
  </si>
  <si>
    <t xml:space="preserve">Advise specific behaviour BCT
Guide how to perform behaviour BCT
Increase awareness of consequences BCT
Social support BCT
Monitoring
Promote pharmacological support BCT' </t>
  </si>
  <si>
    <t>BIZE ET AL.</t>
  </si>
  <si>
    <t xml:space="preserve">Parkes G, Greenhalgh T, Griffin M, Dent R. </t>
  </si>
  <si>
    <t>Effect on smoking quit rate of telling patients their lung age: the Step2quit randomised controlled trial</t>
  </si>
  <si>
    <t>10.1136/bmj.39503.582396.25</t>
  </si>
  <si>
    <t>Spirometry</t>
  </si>
  <si>
    <t>Spirometry, cotinine testing</t>
  </si>
  <si>
    <t>Current smokers aged over 35 (recruited from GP clinics, no disease)</t>
  </si>
  <si>
    <t>All participants underwent standard measurements of lung function (FEV1, FVC (forced vital capacity), FEV1/FVC) with a Micromedical spirometer. Reversibility of airways obstruction was measured according to standard British Thoracic Society guidelines (over 15% and at least 400 ml improvement in FEV1 after 400 µg salbutamol via a spacer). Both groups were told that their lung function would be measured again after 12 months to see whether it had deteriorated. They were not randomised until after spirometry had been completed. All participants were strongly encouraged to give up smoking and advised how to access local NHS smoking cessation clinics. Participants in the intervention group were given their results verbally, immediately after randomisation, in the form of “lung age” with a graphic display. Graphs were used as a visual aid to explain how the lung function normally reduces gradually with age and that smoking can damage lungs as if they are ageing more rapidly than normal. Furthermore they were told that smoking cessation would slow down the rate of deterioration of the lung function back to normal but would not repair the damage already done. In the intervention group, if the lung age was equal to or less than the individual’s chronological age, he or she was informed that test result was normal. If lung age was greater than chronological age, we gave them the “lung age” in years. We did not tell those in the control group their results but informed them that they would be invited for a second test after 12 months to “see if there had been any change in lung function.” If the examiner was pressed for more information, he or she could tell participants that they would receive a letter with more information from the research doctor within four weeks. The letter to both groups included the phrase “This type of lung function test does not tell us anything about the risk of other serious diseases related to smoking such as lung cancer or heart disease or stroke. Smoking cessation is therefore still important for all people regardless of their age or the results of these lung tests.” All participants were given written contact details of the local NHS smoking cessation services.
In both groups, when reversibility testing indicated asthma (over 15% and at least 400 ml improvement in FEV1 after 400 µg salbutamol via a spacer) we advised participants to attend their general practitioner for further management, and informed the general practitioner separately. When spirometry findings suggested restrictive lung disease, we sent the participant and his or her general practitioner a letter to alert them to the advisability of further investigation and guidelines on referral to secondary care.</t>
  </si>
  <si>
    <t>The primary outcome measure was verified cessation of smoking 12 months after the initial recruitment interview and examination. Secondary outcomes were changes in daily consumption of cigarettes and the identification of new diagnoses. Participants underwent follow-up examination with repeat spirometry after 12 months. Self reported quitters had carbon monoxide breath testing immediately for confirmation of smoking cessation, and they were informed that they would be contacted by an independent nurse for a saliva test for cotinine measurement.</t>
  </si>
  <si>
    <t>Despite an average of 33 pack years of smoking, most participants in this study had “normal” results on spirometry at baseline. 23.5% of the control group and 26.8% of the intervention group had baseline lung function in the “abnormal” range. Those who did not return for follow-up (32 and 31, respectively, in the control and intervention group) were analysed as if they continued to smoke. Verified quit rates were 6.4% (18/281) in the control group and 13.6% (38/280) in the intervention group (difference 7.2%, P=0.005, 95% confidence interval 2.2% to 12.1%). Telling participants their lung age was thus associated with an absolute reduction of 7.2% in the smoking rate compared with giving them their lung function tests results as raw FEV1 data. The number needed to treat (NNT) for the intervention to achieve one additional sustained quitter is 14. Both groups reduced their average self reported consumption of cigarettes; average consumption at follow-up was significantly lower in the intervention group than in the control group (11.7 (SD 9.7) v 13.7 (SD 10.5) per day, P=0.03).
The numbers of smokers in both groups who used additional help to quit (health service clinics, nicotine replacement, bupropion, acupuncture, hypnosis) were 22 (7.8%) in the control group and 30 (10.7%) in the intervention group (P=0.2).</t>
  </si>
  <si>
    <t>Increase awareness of consequences BCT
Advise specific behaviour BCT</t>
  </si>
  <si>
    <t xml:space="preserve">van der Aalst CM, van den Bergh KA, Willemsen MC, de Koning HJ, van Klaveren RJ. </t>
  </si>
  <si>
    <t xml:space="preserve">Lung cancer screening and smoking abstinence: 2 year follow-up data from the Dutch-Belgian randomised controlled lung cancer screening trial. </t>
  </si>
  <si>
    <t>10.1136/thx.2009.133751</t>
  </si>
  <si>
    <t>Smoking Cessation</t>
  </si>
  <si>
    <t>CT scan</t>
  </si>
  <si>
    <t>Lung cancer screening (CT scan)</t>
  </si>
  <si>
    <t>Men who were  current or former smokers who had smoked &gt;15 cigarettes a day for &gt;25 yrs or &gt;10 cigarettes a day for &gt;30 yrs. Former smokers should have quit smoking for ≤10 yrs, aged 50-75 years.</t>
  </si>
  <si>
    <t>4 years</t>
  </si>
  <si>
    <t>Smoking behaviour was evaluated in two random samples of male smokers in the screen (n=641) and control arm(n=643) before (T0) and 2 years after randomisation (T1). Participants were randomised (1:1) to the screen or control arm. Screen arm participants received CT screening for lung cancer in years 1, 2, and 4, whereas participants in the control arm received no screening (usual care). A fourth scan round was recently started 5.5 years after the baseline screening (year 6.5). The CT screening test results used a novel nodule management strategy based on volume and volume doubling time (VDT). The test results could be either negative, indeterminate or positive. An indeterminate or negative screening result was communicated via a standard letter with an explanation in cases where the radiologists had found an abnormality. Those with an indeterminate test result were informed about the follow-up scan. Participants with a positive screening result were informed about their referral to a pulmonologist for a work-up and diagnosis by phone. At randomisation, all current smokers received a standard brochure or tailoring assessment for tailored smoking cessation information (1:1). The tailoring questionnaire had to be completed and sent back before participants could receive the computer-tailored smoking cessation information (CTSCI). After two and four years of follow-up, subsamples in the screen and control arm received a smoking cessation questionnaire.</t>
  </si>
  <si>
    <t>Intention to quit smoking, Time to first cigarette after waking</t>
  </si>
  <si>
    <t xml:space="preserve">No difference in number of attempts to quit after 2 years, between screening or control arms. Control arm had higher point prevalence of smoking abstinence (OR = 1.38, 95%CI: 1.01-1.90) and higher prolonged (OR = 1.40; 95% CI: 1.01-1.92) and continued abstinence rates (OR = 1.42, 95% CI: 1.03-1.96), compared to the screening arm. </t>
  </si>
  <si>
    <t>Transtheoretical model (stages of change)</t>
  </si>
  <si>
    <t>Increase awareness of consequences BCT
Guide how to perform behaviour BCT</t>
  </si>
  <si>
    <t>McClure JB, Ludman EJ, Grothaus L, Pabiniak C, Richards J.</t>
  </si>
  <si>
    <t>Impact of a Brief Motivational Smoking Cessation Intervention: The Get PHIT Randomized Controlled Trial</t>
  </si>
  <si>
    <t>10.1016/j.amepre.2009.03.018</t>
  </si>
  <si>
    <t>Spirometry, carbon monoxide (CO) exposure, BMI</t>
  </si>
  <si>
    <t>The intervention was similar in contact time and structure for the two treatment groups. Each group received a personalized health-risk report written at an 8th-grade reading level and a brief (∼20 minute) counseling session based on their risk-assessment results, using the principles of motivational interviewing. The health assessment and interventions were conducted by a health educator who was trained in spirometry and brief motivational interviewing. All participants were advised to quit smoking, given self-help smoking cessation materials, and given access to an empirically validated, free phone-counseling program in which they could enroll free of charge within the following 12 months if they decided to quit smoking. The phone counseling was provided by Free &amp; Clear, Inc. Although the type of contact and the structure of the counseling were similar, the motivational content and health behavior feedback varied by treatment group. The control group report contained generic feedback about the risks of smoking, advice to quit, and instructions for accessing the free phone-counseling program. Additionally, control participants received personalized written and verbal feedback highlighting relevant changes they should make based on their self-reported diet, physical activity level, and BMI.</t>
  </si>
  <si>
    <t>Treatment utilization and abstinence at 6 and 12 months post-intervention.</t>
  </si>
  <si>
    <t>Participants who received the experimental treatment demonstrated no greater motivation to quit, use of treatment services, or abstinence compared to controls at either follow-up assessment. In fact, controls reported greater motivation to quit at 12 months (M 3.42 vs 3.20, p=0.03), greater use of pharmacotherapy at 6 months (37.8% vs 28.0%, p=0.02), and greater 30-day point prevalent abstinence at 6 months, after controlling for relevant covariates (10.8% vs 6.4%, adjusted p=0.04).</t>
  </si>
  <si>
    <t>Transtheoretical model (Stages of Change)</t>
  </si>
  <si>
    <t>Increase awareness of consequences BCT
Social support BCT</t>
  </si>
  <si>
    <t>Grant, R. W., O'Brien, K. E., Waxler, J. L., Vassy, J. L., Delahanty, L. M., Bissett, L. G., Green, R. C., Stember, K. G., Guiducci, C., Park, E. R., Florez, J. C., &amp; Meigs, J. B.</t>
  </si>
  <si>
    <t xml:space="preserve">Personalized genetic risk counseling to motivate diabetes prevention: a randomized trial. </t>
  </si>
  <si>
    <t>10.2337/dc12-0884</t>
  </si>
  <si>
    <t>Genetic - Diabetes risk</t>
  </si>
  <si>
    <t>prospective, three-arm parallel group RCT</t>
  </si>
  <si>
    <t xml:space="preserve">Overweight adults </t>
  </si>
  <si>
    <t>Participants with top and bottom quartile of diabetes genetic risk were enrolled with untested control subjects into a 12-week group-based Lifestyle Balance diabetes prevention program. Participants received a detailed diabetes genetic risk report listing results, and those with higher and lower diabetes genetic risk each received a 15-min structured, individual genetic counselling session, where a genetic counsellor explained their test results, discussed the relative contributions of genetic versus lifestyle factors to the development of diabetes, and placed the recipient’s genetic risk results within the context of his or her overall risk for diabetes. Counselled intervention participants and untested control subjects then participated in a 12-week diabetes prevention program conducted by an experienced dietitian who was masked to the genetic results. The diabetes prevention groups combined intervention and control participants to eliminate any group-based intervention effects. Participants determined to have average diabetes genetic risk received their results but were not studied further.</t>
  </si>
  <si>
    <t>Self-reported confidence and motivation to make diabetes-related lifestyle changes (exercise, weight loss, and adoption of a low-fat diet) and stage of change for achieving these behaviors. Behavioral changes were also measured, by number of sessions attended for the 12-week Lifestyle Balance program. Weight change from baseline was also measured.</t>
  </si>
  <si>
    <t>Receipt of personal genetic risk information and counselling had no statistically significant effect on measured behaviors compared with untested control participants. Higher-risk result recipients more often reported that the initial genetic counseling intervention had made them “much more/somewhat more” motivated to participate in the 12-week program (78.6% vs. 43.8% for lower-risk participants, P = 0.003) and to make lifestyle changes to prevent diabetes (85.7% vs. 56.3% for lower-risk participants, P = 0.008). A significant proportion of lower-risk result recipients reported that they had not thought about their genetic risk results in the prior 3 months (43.8% vs. 16.7% of higher result recipients, P = 0.02).</t>
  </si>
  <si>
    <t>Notes: The numbers in some categories may make up more than the sum of interventions as some interventions had multiple behaviours, theories, etc.</t>
  </si>
  <si>
    <t>One study included sedentary behaviour as a target. The same study also included physical activity, so this has been counted once in the total.</t>
  </si>
  <si>
    <t>There were two interventions which included supplement use, but both studies also included medication change as a target behaviour, thus, these studies have been counted once each.</t>
  </si>
  <si>
    <t>Total</t>
  </si>
  <si>
    <t>TOTAL PAPERS</t>
  </si>
  <si>
    <t>PROPORTION OF PAPERS</t>
  </si>
  <si>
    <t>Behaviour Change Primary Outcome?</t>
  </si>
  <si>
    <t>Behaviours</t>
  </si>
  <si>
    <t>*The following may make up more than the sum of papers as some papers had multiple behaviours, theories, etc.</t>
  </si>
  <si>
    <t>Dietary behaviours</t>
  </si>
  <si>
    <t>Physical Activity/Sedentary Behaviour</t>
  </si>
  <si>
    <t>Sun Protection/Tanning</t>
  </si>
  <si>
    <t>Oral Health Behaviours</t>
  </si>
  <si>
    <t>Stress Management</t>
  </si>
  <si>
    <t>Alcohol Reduction</t>
  </si>
  <si>
    <t>Alcohol Consumption</t>
  </si>
  <si>
    <t>Medication/Supplement Use</t>
  </si>
  <si>
    <t>Number of behaviours</t>
  </si>
  <si>
    <t>Number of behaviours, grouped</t>
  </si>
  <si>
    <t>One</t>
  </si>
  <si>
    <t>Two</t>
  </si>
  <si>
    <t>More than one</t>
  </si>
  <si>
    <t>Three</t>
  </si>
  <si>
    <t>Four</t>
  </si>
  <si>
    <t>Blood glucose</t>
  </si>
  <si>
    <t>Physiological measures</t>
  </si>
  <si>
    <t>HbA1c</t>
  </si>
  <si>
    <t>Risk biomarkers</t>
  </si>
  <si>
    <t>Blood lipids</t>
  </si>
  <si>
    <t>Imaging biomarkers</t>
  </si>
  <si>
    <t>Blood pressure</t>
  </si>
  <si>
    <t>Blood biomarkers</t>
  </si>
  <si>
    <t>Nutrient analysis (biochemical)</t>
  </si>
  <si>
    <t>Anthropometry</t>
  </si>
  <si>
    <t>Heart rate</t>
  </si>
  <si>
    <t>***Grouping guided by https://pmc.ncbi.nlm.nih.gov/articles/PMC5813875/ and https://www.atlasantibodies.com/knowledge-hub/blog/7-types-of-biomarkers/</t>
  </si>
  <si>
    <t>Risk Biomarkers</t>
  </si>
  <si>
    <t>ECG</t>
  </si>
  <si>
    <t xml:space="preserve">UV photography </t>
  </si>
  <si>
    <t>Oral imaging</t>
  </si>
  <si>
    <t>Other facial imaging</t>
  </si>
  <si>
    <t>VO2max</t>
  </si>
  <si>
    <t xml:space="preserve">Respiratory Rate/Variability </t>
  </si>
  <si>
    <t xml:space="preserve">Respiratory rate / variability </t>
  </si>
  <si>
    <t>Five</t>
  </si>
  <si>
    <t>Behaviour Change Theories</t>
  </si>
  <si>
    <t>Behaviour Change Theories, grouped</t>
  </si>
  <si>
    <t>No theory used</t>
  </si>
  <si>
    <t xml:space="preserve">Self-determination theory (SDT) </t>
  </si>
  <si>
    <t>At least one theory used</t>
  </si>
  <si>
    <t>Self-Regulation Theory</t>
  </si>
  <si>
    <t>Self-Efficacy Theory</t>
  </si>
  <si>
    <t>Health Belief Model</t>
  </si>
  <si>
    <t>Theory of Planned Behavior</t>
  </si>
  <si>
    <t>Prototype Model of Health Behavior</t>
  </si>
  <si>
    <t>IMB Model</t>
  </si>
  <si>
    <t>The BUS Framework</t>
  </si>
  <si>
    <t>Social Learning Theory</t>
  </si>
  <si>
    <t>Social Cognitive Theory</t>
  </si>
  <si>
    <t>Common Sense Model</t>
  </si>
  <si>
    <t>Behaviour Change Techniques (outside of biofeedback)</t>
  </si>
  <si>
    <t>Increase awareness of consequences</t>
  </si>
  <si>
    <t>Social support BCT</t>
  </si>
  <si>
    <t>Monitoring (additional non-biofeedback)</t>
  </si>
  <si>
    <t xml:space="preserve">Increase awareness of behaviour </t>
  </si>
  <si>
    <t>Guide to how to perform behaviour</t>
  </si>
  <si>
    <t>Outcome consequence</t>
  </si>
  <si>
    <t>Advise specific behaviour</t>
  </si>
  <si>
    <t>Advise how to change emotions</t>
  </si>
  <si>
    <t xml:space="preserve">Prompt thinking related to successful performance </t>
  </si>
  <si>
    <t>Promote pharmacological support</t>
  </si>
  <si>
    <t>Number of Behaviour Change Techniques (outside of biofeedback)</t>
  </si>
  <si>
    <t>Three or fewer</t>
  </si>
  <si>
    <t>Four or more</t>
  </si>
  <si>
    <t>Six</t>
  </si>
  <si>
    <t>Sex</t>
  </si>
  <si>
    <t>Male only (F = 0%)</t>
  </si>
  <si>
    <t>Female only (F = 100%)</t>
  </si>
  <si>
    <t>Predominantly male (F &lt; 40%)</t>
  </si>
  <si>
    <t>Predominantly female (F &gt; 60%)</t>
  </si>
  <si>
    <t>Even (40% &lt;= F &lt;= 60%)</t>
  </si>
  <si>
    <t>Unstated</t>
  </si>
  <si>
    <t>18-30</t>
  </si>
  <si>
    <t>31-50</t>
  </si>
  <si>
    <t>51-70</t>
  </si>
  <si>
    <t>&gt; 70</t>
  </si>
  <si>
    <t>Income Identified?</t>
  </si>
  <si>
    <t>Education Identified?</t>
  </si>
  <si>
    <t>Further analysis in Supplementary Table 4</t>
  </si>
  <si>
    <t xml:space="preserve">Communication mode </t>
  </si>
  <si>
    <t xml:space="preserve">Communication - frequency </t>
  </si>
  <si>
    <t>Education/counselling?</t>
  </si>
  <si>
    <t>Length of intervention</t>
  </si>
  <si>
    <t>4 weeks / 1 month</t>
  </si>
  <si>
    <t>t &lt;= 3 months</t>
  </si>
  <si>
    <t>3 months &lt; t &lt;= 6 months</t>
  </si>
  <si>
    <t>6 months &lt; t &lt;= 9 months</t>
  </si>
  <si>
    <t>8 weeks / 2 months</t>
  </si>
  <si>
    <t>9 months &lt; t &lt;= 12 months</t>
  </si>
  <si>
    <t>t &gt;12 months</t>
  </si>
  <si>
    <t>12 weeks / 3 months</t>
  </si>
  <si>
    <r>
      <rPr>
        <sz val="11"/>
        <color rgb="FF000000"/>
        <rFont val="Aptos Narrow"/>
        <scheme val="minor"/>
      </rPr>
      <t xml:space="preserve">Notes: Due to the small sample size, </t>
    </r>
    <r>
      <rPr>
        <i/>
        <sz val="11"/>
        <color rgb="FF000000"/>
        <rFont val="Aptos Narrow"/>
        <scheme val="minor"/>
      </rPr>
      <t xml:space="preserve">p </t>
    </r>
    <r>
      <rPr>
        <sz val="11"/>
        <color rgb="FF000000"/>
        <rFont val="Aptos Narrow"/>
        <scheme val="minor"/>
      </rPr>
      <t xml:space="preserve">values were calculated using Fisher's Exact two-tailed test. </t>
    </r>
  </si>
  <si>
    <t>Delta difference</t>
  </si>
  <si>
    <r>
      <t xml:space="preserve">Two-tailed Fisher's </t>
    </r>
    <r>
      <rPr>
        <b/>
        <i/>
        <sz val="11"/>
        <color theme="1"/>
        <rFont val="Aptos Narrow"/>
        <family val="2"/>
        <scheme val="minor"/>
      </rPr>
      <t>p</t>
    </r>
  </si>
  <si>
    <t xml:space="preserve">Physical Activity/SB </t>
  </si>
  <si>
    <t>Physical Activity/SB</t>
  </si>
  <si>
    <t>Medication/Supplements</t>
  </si>
  <si>
    <t>Behaviour Change Techniques</t>
  </si>
  <si>
    <t>Length of intervention, grouped</t>
  </si>
  <si>
    <t>Notes: Due to the heterogeneity of the literature anaylsed, educational attainment  was determined and categorised differently between the papers.</t>
  </si>
  <si>
    <t xml:space="preserve">We amalgamated all complete levels of post-secondary education, including college, university and post-graduate studies into one category which we defined as "College+". </t>
  </si>
  <si>
    <t>Similarly, we amalgamated all educational levels below this, including high school, vocational school, or incomplete college studies into one category which we defined as "College-".</t>
  </si>
  <si>
    <t>Median education level was used to approximate education levels of the participants, i.e., “College+” implies &gt; 50% finishing college or equivalent.</t>
  </si>
  <si>
    <r>
      <rPr>
        <sz val="11"/>
        <color rgb="FF242424"/>
        <rFont val="Aptos Narrow"/>
      </rPr>
      <t>19 papers included a measure of education, but two had vast differences between intervention and control groups. Thus, 17 papers were stratified for education in the following</t>
    </r>
    <r>
      <rPr>
        <i/>
        <sz val="11"/>
        <color rgb="FF242424"/>
        <rFont val="Aptos Narrow"/>
      </rPr>
      <t xml:space="preserve"> p </t>
    </r>
    <r>
      <rPr>
        <sz val="11"/>
        <color rgb="FF242424"/>
        <rFont val="Aptos Narrow"/>
      </rPr>
      <t>value calculation.</t>
    </r>
  </si>
  <si>
    <r>
      <rPr>
        <sz val="11"/>
        <color rgb="FF000000"/>
        <rFont val="Aptos Narrow"/>
        <scheme val="minor"/>
      </rPr>
      <t xml:space="preserve">Due to the small sample size, </t>
    </r>
    <r>
      <rPr>
        <i/>
        <sz val="11"/>
        <color rgb="FF000000"/>
        <rFont val="Aptos Narrow"/>
        <scheme val="minor"/>
      </rPr>
      <t xml:space="preserve">p </t>
    </r>
    <r>
      <rPr>
        <sz val="11"/>
        <color rgb="FF000000"/>
        <rFont val="Aptos Narrow"/>
        <scheme val="minor"/>
      </rPr>
      <t xml:space="preserve">values were calculated using Fisher's Exact two-tailed test. </t>
    </r>
  </si>
  <si>
    <t>Participants had similar level of education?</t>
  </si>
  <si>
    <t>Intervention effective?</t>
  </si>
  <si>
    <t>Median level of education</t>
  </si>
  <si>
    <t>Age</t>
  </si>
  <si>
    <t>Comments</t>
  </si>
  <si>
    <t>Gleason-Comstock</t>
  </si>
  <si>
    <t>N/A</t>
  </si>
  <si>
    <t xml:space="preserve">The control group had a larger proportion of less educated people. </t>
  </si>
  <si>
    <t>Lederman</t>
  </si>
  <si>
    <t>The intervention and control groups had large differences in educational attainment levels.</t>
  </si>
  <si>
    <t>Damschroder</t>
  </si>
  <si>
    <t>College-</t>
  </si>
  <si>
    <t>59.1% of participants were under "High school graduate/equivalent (GEDb) or less" (6.4%) and "Some college, trade/vocational, associate’s degree" (52.7%) categories.</t>
  </si>
  <si>
    <t>Harris</t>
  </si>
  <si>
    <t>-</t>
  </si>
  <si>
    <t xml:space="preserve">Kocher </t>
  </si>
  <si>
    <t>Marteau</t>
  </si>
  <si>
    <t>Sheridan</t>
  </si>
  <si>
    <t>This paper reported education levels as "some college" (66%); based on estimated US college graduation rates (64%), we estimate only ~42% of the participants would have completed college.</t>
  </si>
  <si>
    <t>Van de Aalst</t>
  </si>
  <si>
    <t>Grant</t>
  </si>
  <si>
    <t>College+</t>
  </si>
  <si>
    <t>As we merged the intervention arms (higher-risk &amp; lower-risk) and compared against control, education similarity was judged purely on % with 4+ years of college. Control had 21/38 (53.3%); combined interventions had 38/78 (48.7%); Fisher exact's p = 0.56, hence participants were judged to have similar education levels.</t>
  </si>
  <si>
    <t>McClure</t>
  </si>
  <si>
    <t>Araujo Almeida</t>
  </si>
  <si>
    <t>Araujo 2016</t>
  </si>
  <si>
    <t>Araujo 2018</t>
  </si>
  <si>
    <t>Chao</t>
  </si>
  <si>
    <t>Leskinen</t>
  </si>
  <si>
    <t>All groups</t>
  </si>
  <si>
    <t>College+ (also specified health literacy)</t>
  </si>
  <si>
    <t>Nielsen</t>
  </si>
  <si>
    <t xml:space="preserve">College+ </t>
  </si>
  <si>
    <t>Saaman</t>
  </si>
  <si>
    <t>Schopp</t>
  </si>
  <si>
    <t>Vassy</t>
  </si>
  <si>
    <t>Fisher's exact p value calculations</t>
  </si>
  <si>
    <t>Edu College+</t>
  </si>
  <si>
    <t>Edu College-</t>
  </si>
  <si>
    <t>p value</t>
  </si>
  <si>
    <t>Intervention YES</t>
  </si>
  <si>
    <t>p = 0.0097</t>
  </si>
  <si>
    <t>Intervention NO</t>
  </si>
  <si>
    <t>Intervention YES+All Groups</t>
  </si>
  <si>
    <t>p = 0.0023</t>
  </si>
  <si>
    <t>Two-tailed unpaired t-test for ages amongst College- and College+.  p =</t>
  </si>
  <si>
    <t>Self-regulation theory</t>
  </si>
  <si>
    <t>Self-Efficacy, Stages of change</t>
  </si>
  <si>
    <t>Health Belief Model, Transtheoretical Model</t>
  </si>
  <si>
    <t>Self-Efficacy Theory, Social Learning Theory</t>
  </si>
  <si>
    <t>Self-Efficacy Theory, Social Cognitive Theory</t>
  </si>
  <si>
    <t>Common Sense Model, Protection Motivation Theory, Theory of Planned Behavior</t>
  </si>
  <si>
    <t>Health Belief Model, Protection Motivation Theory, Theory of Planned Behavior</t>
  </si>
  <si>
    <t>At least two theories used</t>
  </si>
  <si>
    <t>Papers from Hollands et al., 2022 DOI:10.1371/journal.pmed.1003920</t>
  </si>
  <si>
    <t>Papers from Richardson et al., 2023 DOI:10.2196/44359</t>
  </si>
  <si>
    <t>10.1002/14651858.CD007275.pub2</t>
  </si>
  <si>
    <t>10.1371/journal.pone.0040230</t>
  </si>
  <si>
    <t>10.1002/14651858.CD004705.pub4</t>
  </si>
  <si>
    <t>Papers from reviews cited in French et al., 2017 DOI:10.1007/s12160-017-9895-z, Table 1 (https://academic.oup.com/view-large/105254636)</t>
  </si>
  <si>
    <t>Other papers using search terms &amp; not already present in Richardson 2023 / Hollands 2022 / French 2017</t>
  </si>
  <si>
    <t>10.1136/bmjopen-2015-008717</t>
  </si>
  <si>
    <t>A self-determination multiple risk intervention trial to improve smokers' health</t>
  </si>
  <si>
    <t>Supplementary File S4. Education analysis - interventions which included a measure of participant educational attainment</t>
  </si>
  <si>
    <t>Supplementary File S2. Data analysis for all papers</t>
  </si>
  <si>
    <t>Behaviour Change Techniques [DOMAIN LEVEL]</t>
  </si>
  <si>
    <t>Effective</t>
  </si>
  <si>
    <t>Not effective</t>
  </si>
  <si>
    <t xml:space="preserve">Papers in these subsection were then grouped based on efficacy; Column E: "Effective", "Not effective" and "All groups improved". </t>
  </si>
  <si>
    <r>
      <t>Supplementary File S3. Data analysis and</t>
    </r>
    <r>
      <rPr>
        <b/>
        <i/>
        <sz val="14"/>
        <color rgb="FF000000"/>
        <rFont val="Aptos Narrow"/>
        <scheme val="minor"/>
      </rPr>
      <t xml:space="preserve"> p </t>
    </r>
    <r>
      <rPr>
        <b/>
        <sz val="14"/>
        <color rgb="FF000000"/>
        <rFont val="Aptos Narrow"/>
        <scheme val="minor"/>
      </rPr>
      <t>value calculation for all effective and non-effective interventions</t>
    </r>
  </si>
  <si>
    <t xml:space="preserve">Patients were randomised into either the Health Promotion Program (HPP) or control groups. All patients had biomarker testing at baseline, 4, 6 and 12 months. The intervention group were encouraged to set goals and select their own lifestyle improvements with the support of dietitians, exercise instructors and nurses. Home-visits were made twice per year for follow up and support. The control group received their health results and general printed information about exercise only. </t>
  </si>
  <si>
    <t>Number of biofeedback markers</t>
  </si>
  <si>
    <t>Specific biofeedback markers</t>
  </si>
  <si>
    <t>Biofeedback markers</t>
  </si>
  <si>
    <t>SNPs that affect caffeine metabolism (CYP1A2), vitamin C utilisation (GSTT1 and GSTM1), sweet taste perception (TAS1R2), and sodium-sensitivity (ACE)</t>
  </si>
  <si>
    <t>Number of biofeedback markers, grouped</t>
  </si>
  <si>
    <t>Biofeedback markers, grouped</t>
  </si>
  <si>
    <t>Grouped biofeedback markers</t>
  </si>
  <si>
    <t>Mean age</t>
  </si>
  <si>
    <t>Intervention period</t>
  </si>
  <si>
    <t>Education/counselling</t>
  </si>
  <si>
    <t>Measured outcome(s)</t>
  </si>
  <si>
    <t>BC primary outcome?</t>
  </si>
  <si>
    <t>Reported results</t>
  </si>
  <si>
    <t>Measured post-intervention maintenance?</t>
  </si>
  <si>
    <t>Communication mode</t>
  </si>
  <si>
    <t>Frequency of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</si>
</sst>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9" x14ac:knownFonts="1">
    <font>
      <sz val="11"/>
      <color theme="1"/>
      <name val="Aptos Narrow"/>
      <family val="2"/>
      <scheme val="minor"/>
    </font>
    <font>
      <sz val="11"/>
      <color theme="1"/>
      <name val="Aptos Narrow"/>
      <scheme val="minor"/>
    </font>
    <font>
      <b/>
      <sz val="11"/>
      <color theme="1"/>
      <name val="Aptos Narrow"/>
      <family val="2"/>
      <scheme val="minor"/>
    </font>
    <font>
      <u/>
      <sz val="11"/>
      <color theme="10"/>
      <name val="Aptos Narrow"/>
      <family val="2"/>
      <scheme val="minor"/>
    </font>
    <font>
      <sz val="11"/>
      <name val="Aptos Narrow"/>
      <family val="2"/>
      <scheme val="minor"/>
    </font>
    <font>
      <b/>
      <sz val="11"/>
      <color rgb="FFFF0000"/>
      <name val="Aptos Narrow"/>
      <family val="2"/>
      <scheme val="minor"/>
    </font>
    <font>
      <sz val="11"/>
      <color rgb="FF333333"/>
      <name val="Aptos Narrow"/>
      <scheme val="minor"/>
    </font>
    <font>
      <sz val="11"/>
      <color rgb="FF000000"/>
      <name val="Aptos Narrow"/>
      <charset val="1"/>
    </font>
    <font>
      <sz val="11"/>
      <color rgb="FF000000"/>
      <name val="Aptos Narrow"/>
      <scheme val="minor"/>
    </font>
    <font>
      <sz val="11"/>
      <color theme="1"/>
      <name val="Aptos Narrow"/>
      <scheme val="minor"/>
    </font>
    <font>
      <b/>
      <sz val="11"/>
      <color rgb="FF000000"/>
      <name val="Aptos Narrow"/>
      <scheme val="minor"/>
    </font>
    <font>
      <sz val="11"/>
      <color rgb="FF202020"/>
      <name val="Aptos Narrow"/>
      <scheme val="minor"/>
    </font>
    <font>
      <sz val="11"/>
      <color rgb="FF000000"/>
      <name val="Aptos Narrow"/>
      <family val="2"/>
      <scheme val="minor"/>
    </font>
    <font>
      <b/>
      <sz val="11"/>
      <color rgb="FF000000"/>
      <name val="Aptos Narrow"/>
      <charset val="1"/>
    </font>
    <font>
      <b/>
      <sz val="11"/>
      <color rgb="FF000000"/>
      <name val="Aptos Narrow"/>
      <family val="2"/>
      <scheme val="minor"/>
    </font>
    <font>
      <b/>
      <sz val="11"/>
      <color theme="0"/>
      <name val="Aptos Narrow"/>
      <family val="2"/>
      <scheme val="minor"/>
    </font>
    <font>
      <sz val="11"/>
      <color theme="0"/>
      <name val="Aptos Narrow"/>
      <family val="2"/>
      <scheme val="minor"/>
    </font>
    <font>
      <sz val="8"/>
      <color theme="0"/>
      <name val="Aptos Narrow"/>
      <family val="2"/>
      <scheme val="minor"/>
    </font>
    <font>
      <b/>
      <sz val="11"/>
      <color rgb="FF000000"/>
      <name val="Aptos Narrow"/>
      <family val="2"/>
    </font>
    <font>
      <b/>
      <sz val="11"/>
      <color rgb="FFC00000"/>
      <name val="Aptos Narrow"/>
      <family val="2"/>
      <scheme val="minor"/>
    </font>
    <font>
      <b/>
      <i/>
      <sz val="11"/>
      <color theme="1"/>
      <name val="Aptos Narrow"/>
      <family val="2"/>
      <scheme val="minor"/>
    </font>
    <font>
      <i/>
      <sz val="11"/>
      <color rgb="FF000000"/>
      <name val="Aptos Narrow"/>
      <scheme val="minor"/>
    </font>
    <font>
      <sz val="11"/>
      <color rgb="FF000000"/>
      <name val="Aptos Narrow"/>
    </font>
    <font>
      <sz val="11"/>
      <color rgb="FF000000"/>
      <name val="Calibri"/>
      <charset val="1"/>
    </font>
    <font>
      <b/>
      <sz val="14"/>
      <color theme="1"/>
      <name val="Aptos Narrow"/>
      <family val="2"/>
      <scheme val="minor"/>
    </font>
    <font>
      <sz val="11"/>
      <color rgb="FF242424"/>
      <name val="Aptos Narrow"/>
      <charset val="1"/>
    </font>
    <font>
      <b/>
      <sz val="14"/>
      <color rgb="FF000000"/>
      <name val="Aptos Narrow"/>
      <scheme val="minor"/>
    </font>
    <font>
      <b/>
      <i/>
      <sz val="14"/>
      <color rgb="FF000000"/>
      <name val="Aptos Narrow"/>
      <scheme val="minor"/>
    </font>
    <font>
      <sz val="11"/>
      <color rgb="FF242424"/>
      <name val="Aptos Narrow"/>
    </font>
    <font>
      <i/>
      <sz val="11"/>
      <color rgb="FF242424"/>
      <name val="Aptos Narrow"/>
    </font>
    <font>
      <b/>
      <sz val="11"/>
      <color rgb="FFFFFFFF"/>
      <name val="Aptos Narrow"/>
      <scheme val="minor"/>
    </font>
    <font>
      <sz val="11"/>
      <color rgb="FF000000"/>
      <name val="Aptos Narrow"/>
      <family val="2"/>
    </font>
    <font>
      <sz val="11"/>
      <name val="Aptos Narrow"/>
      <family val="2"/>
    </font>
    <font>
      <sz val="11"/>
      <color rgb="FF242424"/>
      <name val="Aptos Narrow"/>
      <family val="2"/>
    </font>
    <font>
      <sz val="11"/>
      <color rgb="FFFF0000"/>
      <name val="Aptos Narrow"/>
    </font>
    <font>
      <strike/>
      <sz val="11"/>
      <color rgb="FF000000"/>
      <name val="Aptos Narrow"/>
      <charset val="1"/>
    </font>
    <font>
      <strike/>
      <sz val="11"/>
      <color theme="1"/>
      <name val="Aptos Narrow"/>
      <family val="2"/>
      <scheme val="minor"/>
    </font>
    <font>
      <sz val="11"/>
      <color rgb="FFFF0000"/>
      <name val="Aptos Narrow"/>
      <family val="2"/>
      <scheme val="minor"/>
    </font>
    <font>
      <b/>
      <sz val="14"/>
      <color rgb="FF000000"/>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bgColor indexed="64"/>
      </patternFill>
    </fill>
    <fill>
      <patternFill patternType="solid">
        <fgColor theme="5"/>
        <bgColor indexed="64"/>
      </patternFill>
    </fill>
    <fill>
      <patternFill patternType="solid">
        <fgColor theme="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46">
    <xf numFmtId="0" fontId="0" fillId="0" borderId="0" xfId="0"/>
    <xf numFmtId="0" fontId="0" fillId="0" borderId="0" xfId="0" applyAlignment="1">
      <alignment wrapText="1"/>
    </xf>
    <xf numFmtId="0" fontId="2"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3" fillId="0" borderId="0" xfId="1" applyAlignment="1">
      <alignment vertical="top" wrapText="1"/>
    </xf>
    <xf numFmtId="0" fontId="0" fillId="0" borderId="0" xfId="0" applyAlignment="1">
      <alignment vertical="top"/>
    </xf>
    <xf numFmtId="0" fontId="6" fillId="0" borderId="0" xfId="0" applyFont="1" applyAlignment="1">
      <alignment vertical="top" wrapText="1"/>
    </xf>
    <xf numFmtId="0" fontId="7" fillId="0" borderId="0" xfId="0" applyFont="1" applyAlignment="1">
      <alignment vertical="top" wrapText="1"/>
    </xf>
    <xf numFmtId="0" fontId="2" fillId="0" borderId="0" xfId="0" applyFont="1" applyAlignment="1">
      <alignment vertical="top" wrapText="1"/>
    </xf>
    <xf numFmtId="0" fontId="9" fillId="0" borderId="0" xfId="0" applyFont="1" applyAlignment="1">
      <alignment vertical="top" wrapText="1"/>
    </xf>
    <xf numFmtId="0" fontId="2" fillId="0" borderId="0" xfId="0" applyFont="1"/>
    <xf numFmtId="0" fontId="8" fillId="0" borderId="0" xfId="0" applyFont="1" applyAlignment="1">
      <alignment vertical="top" wrapText="1"/>
    </xf>
    <xf numFmtId="0" fontId="11" fillId="0" borderId="0" xfId="0" applyFont="1" applyAlignment="1">
      <alignment vertical="top" wrapText="1"/>
    </xf>
    <xf numFmtId="2" fontId="0" fillId="0" borderId="0" xfId="0" applyNumberFormat="1" applyAlignment="1">
      <alignment vertical="top"/>
    </xf>
    <xf numFmtId="0" fontId="15" fillId="3" borderId="0" xfId="0" applyFont="1" applyFill="1"/>
    <xf numFmtId="0" fontId="2" fillId="0" borderId="0" xfId="0" applyFont="1" applyAlignment="1">
      <alignment wrapText="1"/>
    </xf>
    <xf numFmtId="0" fontId="2" fillId="0" borderId="0" xfId="0" applyFont="1" applyAlignment="1">
      <alignment horizontal="center" wrapText="1"/>
    </xf>
    <xf numFmtId="2" fontId="2" fillId="0" borderId="0" xfId="0" applyNumberFormat="1" applyFont="1" applyAlignment="1">
      <alignment horizontal="center" wrapText="1"/>
    </xf>
    <xf numFmtId="0" fontId="15" fillId="3" borderId="0" xfId="0" applyFont="1" applyFill="1" applyAlignment="1">
      <alignment horizontal="center"/>
    </xf>
    <xf numFmtId="0" fontId="0" fillId="0" borderId="0" xfId="0" applyAlignment="1">
      <alignment horizontal="center"/>
    </xf>
    <xf numFmtId="2" fontId="15" fillId="3" borderId="0" xfId="0" applyNumberFormat="1" applyFont="1" applyFill="1" applyAlignment="1">
      <alignment horizontal="center"/>
    </xf>
    <xf numFmtId="2" fontId="0" fillId="0" borderId="0" xfId="0" applyNumberFormat="1" applyAlignment="1">
      <alignment horizontal="center"/>
    </xf>
    <xf numFmtId="0" fontId="4" fillId="0" borderId="0" xfId="0" applyFont="1"/>
    <xf numFmtId="2" fontId="4" fillId="0" borderId="0" xfId="0" applyNumberFormat="1" applyFont="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0" fontId="5" fillId="0" borderId="0" xfId="0" applyFont="1" applyAlignment="1">
      <alignment horizontal="center"/>
    </xf>
    <xf numFmtId="0" fontId="15" fillId="3" borderId="0" xfId="0" applyFont="1" applyFill="1" applyAlignment="1">
      <alignment horizontal="left"/>
    </xf>
    <xf numFmtId="0" fontId="19" fillId="3" borderId="0" xfId="0" applyFont="1" applyFill="1" applyAlignment="1">
      <alignment horizontal="center"/>
    </xf>
    <xf numFmtId="0" fontId="2" fillId="0" borderId="0" xfId="0" applyFont="1" applyAlignment="1">
      <alignment vertical="top"/>
    </xf>
    <xf numFmtId="0" fontId="12" fillId="0" borderId="0" xfId="0" applyFont="1" applyAlignment="1">
      <alignment vertical="top" wrapText="1"/>
    </xf>
    <xf numFmtId="0" fontId="15" fillId="3" borderId="1" xfId="0" applyFont="1" applyFill="1" applyBorder="1"/>
    <xf numFmtId="0" fontId="0" fillId="3" borderId="0" xfId="0" applyFill="1" applyAlignment="1">
      <alignment horizontal="center"/>
    </xf>
    <xf numFmtId="0" fontId="0" fillId="3" borderId="0" xfId="0" applyFill="1"/>
    <xf numFmtId="2" fontId="0" fillId="3" borderId="0" xfId="0" applyNumberFormat="1" applyFill="1" applyAlignment="1">
      <alignment horizontal="center"/>
    </xf>
    <xf numFmtId="1" fontId="19" fillId="3" borderId="0" xfId="0" applyNumberFormat="1" applyFont="1" applyFill="1" applyAlignment="1">
      <alignment horizontal="center"/>
    </xf>
    <xf numFmtId="0" fontId="17" fillId="3" borderId="0" xfId="0" applyFont="1" applyFill="1" applyAlignment="1">
      <alignment horizontal="center"/>
    </xf>
    <xf numFmtId="0" fontId="7" fillId="0" borderId="0" xfId="0" applyFont="1" applyAlignment="1">
      <alignment vertical="top"/>
    </xf>
    <xf numFmtId="0" fontId="15" fillId="3" borderId="0" xfId="0" applyFont="1" applyFill="1" applyAlignment="1">
      <alignment vertical="top"/>
    </xf>
    <xf numFmtId="0" fontId="2" fillId="3" borderId="0" xfId="0" applyFont="1" applyFill="1" applyAlignment="1">
      <alignment horizontal="center"/>
    </xf>
    <xf numFmtId="0" fontId="0" fillId="0" borderId="0" xfId="0" applyAlignment="1">
      <alignment horizontal="center" wrapText="1"/>
    </xf>
    <xf numFmtId="0" fontId="8" fillId="0" borderId="0" xfId="0" applyFont="1"/>
    <xf numFmtId="0" fontId="7" fillId="0" borderId="0" xfId="0" applyFont="1"/>
    <xf numFmtId="2" fontId="15" fillId="3" borderId="0" xfId="0" applyNumberFormat="1" applyFont="1" applyFill="1" applyAlignment="1">
      <alignment horizontal="left"/>
    </xf>
    <xf numFmtId="2" fontId="15" fillId="3" borderId="0" xfId="0" applyNumberFormat="1" applyFont="1" applyFill="1" applyAlignment="1">
      <alignment horizontal="center" wrapText="1"/>
    </xf>
    <xf numFmtId="2" fontId="0" fillId="0" borderId="0" xfId="0" applyNumberFormat="1"/>
    <xf numFmtId="0" fontId="0" fillId="9" borderId="0" xfId="0" applyFill="1" applyAlignment="1">
      <alignment vertical="top"/>
    </xf>
    <xf numFmtId="0" fontId="0" fillId="5" borderId="0" xfId="0" applyFill="1" applyAlignment="1">
      <alignment vertical="top"/>
    </xf>
    <xf numFmtId="164" fontId="2" fillId="0" borderId="0" xfId="0" applyNumberFormat="1" applyFont="1" applyAlignment="1">
      <alignment horizontal="center" wrapText="1"/>
    </xf>
    <xf numFmtId="164" fontId="15" fillId="3" borderId="0" xfId="0" applyNumberFormat="1" applyFont="1" applyFill="1" applyAlignment="1">
      <alignment horizontal="center"/>
    </xf>
    <xf numFmtId="164" fontId="0" fillId="0" borderId="0" xfId="0" applyNumberFormat="1" applyAlignment="1">
      <alignment horizontal="center"/>
    </xf>
    <xf numFmtId="164" fontId="0" fillId="3" borderId="0" xfId="0" applyNumberFormat="1" applyFill="1" applyAlignment="1">
      <alignment horizontal="center"/>
    </xf>
    <xf numFmtId="164" fontId="2" fillId="0" borderId="0" xfId="0" applyNumberFormat="1" applyFont="1" applyAlignment="1">
      <alignment horizontal="center"/>
    </xf>
    <xf numFmtId="0" fontId="10" fillId="0" borderId="0" xfId="0" applyFont="1" applyAlignment="1">
      <alignment horizontal="center" wrapText="1"/>
    </xf>
    <xf numFmtId="0" fontId="13" fillId="0" borderId="0" xfId="0" applyFont="1" applyAlignment="1">
      <alignment horizontal="center" wrapText="1"/>
    </xf>
    <xf numFmtId="0" fontId="18" fillId="0" borderId="0" xfId="0" applyFont="1" applyAlignment="1">
      <alignment horizontal="center" wrapText="1"/>
    </xf>
    <xf numFmtId="0" fontId="22" fillId="0" borderId="0" xfId="0" applyFont="1" applyAlignment="1">
      <alignment vertical="top" wrapText="1"/>
    </xf>
    <xf numFmtId="164" fontId="2" fillId="3" borderId="0" xfId="0" applyNumberFormat="1" applyFont="1" applyFill="1" applyAlignment="1">
      <alignment horizontal="center"/>
    </xf>
    <xf numFmtId="2" fontId="12" fillId="0" borderId="0" xfId="0" applyNumberFormat="1" applyFont="1" applyAlignment="1">
      <alignment vertical="top" wrapText="1"/>
    </xf>
    <xf numFmtId="0" fontId="12" fillId="0" borderId="0" xfId="0" applyFont="1" applyAlignment="1">
      <alignment horizontal="left" vertical="top" wrapText="1"/>
    </xf>
    <xf numFmtId="0" fontId="12" fillId="2" borderId="0" xfId="0" applyFont="1" applyFill="1" applyAlignment="1">
      <alignment vertical="top" wrapText="1"/>
    </xf>
    <xf numFmtId="2" fontId="8" fillId="0" borderId="0" xfId="0" applyNumberFormat="1" applyFont="1" applyAlignment="1">
      <alignment vertical="top" wrapText="1"/>
    </xf>
    <xf numFmtId="0" fontId="23" fillId="0" borderId="0" xfId="0" applyFont="1" applyAlignment="1">
      <alignment vertical="top" wrapText="1"/>
    </xf>
    <xf numFmtId="2" fontId="23" fillId="0" borderId="0" xfId="0" applyNumberFormat="1" applyFont="1" applyAlignment="1">
      <alignment vertical="top" wrapText="1"/>
    </xf>
    <xf numFmtId="0" fontId="0" fillId="4" borderId="0" xfId="0" applyFill="1" applyAlignment="1">
      <alignment vertical="top"/>
    </xf>
    <xf numFmtId="0" fontId="0" fillId="3" borderId="0" xfId="0" applyFill="1" applyAlignment="1">
      <alignment vertical="top" wrapText="1"/>
    </xf>
    <xf numFmtId="0" fontId="12" fillId="3" borderId="0" xfId="0" applyFont="1" applyFill="1" applyAlignment="1">
      <alignment vertical="top" wrapText="1"/>
    </xf>
    <xf numFmtId="2" fontId="12" fillId="3" borderId="0" xfId="0" applyNumberFormat="1" applyFont="1" applyFill="1" applyAlignment="1">
      <alignment vertical="top" wrapText="1"/>
    </xf>
    <xf numFmtId="0" fontId="12" fillId="8" borderId="0" xfId="0" applyFont="1" applyFill="1" applyAlignment="1">
      <alignment vertical="top" wrapText="1"/>
    </xf>
    <xf numFmtId="2" fontId="12" fillId="8" borderId="0" xfId="0" applyNumberFormat="1" applyFont="1" applyFill="1" applyAlignment="1">
      <alignment vertical="top" wrapText="1"/>
    </xf>
    <xf numFmtId="0" fontId="0" fillId="9" borderId="0" xfId="0" applyFill="1" applyAlignment="1">
      <alignment vertical="top" wrapText="1"/>
    </xf>
    <xf numFmtId="3" fontId="0" fillId="0" borderId="0" xfId="0" applyNumberFormat="1" applyAlignment="1">
      <alignment horizontal="center"/>
    </xf>
    <xf numFmtId="0" fontId="24" fillId="0" borderId="0" xfId="0" applyFont="1"/>
    <xf numFmtId="0" fontId="25" fillId="0" borderId="0" xfId="0" applyFont="1"/>
    <xf numFmtId="0" fontId="28" fillId="0" borderId="0" xfId="0" applyFont="1"/>
    <xf numFmtId="0" fontId="15" fillId="3" borderId="0" xfId="0" applyFont="1" applyFill="1" applyAlignment="1">
      <alignment vertical="top" wrapText="1"/>
    </xf>
    <xf numFmtId="0" fontId="30" fillId="3" borderId="0" xfId="0" applyFont="1" applyFill="1" applyAlignment="1">
      <alignment vertical="top"/>
    </xf>
    <xf numFmtId="0" fontId="25" fillId="0" borderId="0" xfId="0" applyFont="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12" fillId="0" borderId="0" xfId="0" applyFont="1" applyAlignment="1">
      <alignment wrapText="1"/>
    </xf>
    <xf numFmtId="0" fontId="7" fillId="0" borderId="0" xfId="0" applyFont="1" applyAlignment="1">
      <alignment horizontal="left" vertical="top" wrapText="1"/>
    </xf>
    <xf numFmtId="165" fontId="0" fillId="0" borderId="0" xfId="0" applyNumberFormat="1" applyAlignment="1">
      <alignment horizontal="center"/>
    </xf>
    <xf numFmtId="165" fontId="15" fillId="3" borderId="0" xfId="0" applyNumberFormat="1" applyFont="1" applyFill="1" applyAlignment="1">
      <alignment horizontal="center" vertical="top"/>
    </xf>
    <xf numFmtId="165" fontId="0" fillId="0" borderId="0" xfId="0" applyNumberFormat="1" applyAlignment="1">
      <alignment horizontal="center" vertical="top"/>
    </xf>
    <xf numFmtId="165" fontId="0" fillId="5" borderId="0" xfId="0" applyNumberFormat="1" applyFill="1" applyAlignment="1">
      <alignment horizontal="center" vertical="top"/>
    </xf>
    <xf numFmtId="165" fontId="0" fillId="9" borderId="0" xfId="0" applyNumberFormat="1" applyFill="1" applyAlignment="1">
      <alignment horizontal="center" vertical="top"/>
    </xf>
    <xf numFmtId="0" fontId="0" fillId="5" borderId="0" xfId="0" applyFill="1" applyAlignment="1">
      <alignment vertical="top" wrapText="1"/>
    </xf>
    <xf numFmtId="0" fontId="0" fillId="4" borderId="0" xfId="0" applyFill="1" applyAlignment="1">
      <alignment vertical="top" wrapText="1"/>
    </xf>
    <xf numFmtId="165" fontId="0" fillId="4" borderId="0" xfId="0" applyNumberFormat="1" applyFill="1" applyAlignment="1">
      <alignment horizontal="center" vertical="top"/>
    </xf>
    <xf numFmtId="0" fontId="0" fillId="5" borderId="0" xfId="0" quotePrefix="1" applyFill="1" applyAlignment="1">
      <alignment vertical="top"/>
    </xf>
    <xf numFmtId="0" fontId="0" fillId="4" borderId="0" xfId="0" quotePrefix="1" applyFill="1" applyAlignment="1">
      <alignment vertical="top"/>
    </xf>
    <xf numFmtId="0" fontId="0" fillId="9" borderId="0" xfId="0" quotePrefix="1" applyFill="1" applyAlignment="1">
      <alignment vertical="top"/>
    </xf>
    <xf numFmtId="0" fontId="33" fillId="0" borderId="0" xfId="0" applyFont="1"/>
    <xf numFmtId="0" fontId="35" fillId="0" borderId="0" xfId="0" applyFont="1" applyAlignment="1">
      <alignment horizontal="left" vertical="top" wrapText="1"/>
    </xf>
    <xf numFmtId="0" fontId="36" fillId="0" borderId="0" xfId="0" applyFont="1" applyAlignment="1">
      <alignment vertical="top" wrapText="1"/>
    </xf>
    <xf numFmtId="0" fontId="37" fillId="0" borderId="0" xfId="0" applyFont="1"/>
    <xf numFmtId="0" fontId="15" fillId="0" borderId="0" xfId="0" applyFont="1"/>
    <xf numFmtId="0" fontId="16" fillId="0" borderId="0" xfId="0" applyFont="1" applyAlignment="1">
      <alignment horizontal="center"/>
    </xf>
    <xf numFmtId="1" fontId="19" fillId="0" borderId="0" xfId="0" applyNumberFormat="1" applyFont="1" applyAlignment="1">
      <alignment horizontal="center"/>
    </xf>
    <xf numFmtId="0" fontId="15" fillId="0" borderId="0" xfId="0" applyFont="1" applyAlignment="1">
      <alignment horizontal="center"/>
    </xf>
    <xf numFmtId="0" fontId="19" fillId="0" borderId="0" xfId="0" applyFont="1" applyAlignment="1">
      <alignment horizontal="center"/>
    </xf>
    <xf numFmtId="2" fontId="15" fillId="0" borderId="0" xfId="0" applyNumberFormat="1" applyFont="1" applyAlignment="1">
      <alignment horizontal="center"/>
    </xf>
    <xf numFmtId="164" fontId="15" fillId="0" borderId="0" xfId="0" applyNumberFormat="1" applyFont="1" applyAlignment="1">
      <alignment horizontal="center"/>
    </xf>
    <xf numFmtId="2" fontId="2" fillId="3" borderId="0" xfId="0" applyNumberFormat="1" applyFont="1" applyFill="1" applyAlignment="1">
      <alignment horizontal="center"/>
    </xf>
    <xf numFmtId="164" fontId="2" fillId="0" borderId="0" xfId="0" applyNumberFormat="1" applyFont="1" applyAlignment="1">
      <alignment horizontal="left" vertical="top"/>
    </xf>
    <xf numFmtId="0" fontId="16" fillId="3" borderId="0" xfId="0" applyFont="1" applyFill="1"/>
    <xf numFmtId="0" fontId="1" fillId="0" borderId="0" xfId="0" applyFont="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14" fillId="0" borderId="2" xfId="0" applyFont="1" applyBorder="1" applyAlignment="1">
      <alignment horizontal="left" vertical="top" wrapText="1"/>
    </xf>
    <xf numFmtId="2" fontId="14" fillId="0" borderId="2" xfId="0" applyNumberFormat="1" applyFont="1" applyBorder="1" applyAlignment="1">
      <alignment horizontal="left" vertical="top" wrapText="1"/>
    </xf>
    <xf numFmtId="0" fontId="0" fillId="10" borderId="0" xfId="0" applyFill="1" applyAlignment="1">
      <alignment vertical="top" wrapText="1"/>
    </xf>
    <xf numFmtId="0" fontId="3" fillId="10" borderId="0" xfId="1" applyFill="1" applyAlignment="1">
      <alignment vertical="top" wrapText="1"/>
    </xf>
    <xf numFmtId="0" fontId="12" fillId="10" borderId="0" xfId="0" applyFont="1" applyFill="1" applyAlignment="1">
      <alignment vertical="top" wrapText="1"/>
    </xf>
    <xf numFmtId="2" fontId="12" fillId="10" borderId="0" xfId="0" applyNumberFormat="1" applyFont="1" applyFill="1" applyAlignment="1">
      <alignment vertical="top" wrapText="1"/>
    </xf>
    <xf numFmtId="0" fontId="0" fillId="10" borderId="0" xfId="0" applyFill="1" applyAlignment="1">
      <alignment vertical="top"/>
    </xf>
    <xf numFmtId="0" fontId="12" fillId="10" borderId="0" xfId="0" applyFont="1" applyFill="1" applyAlignment="1">
      <alignment vertical="top"/>
    </xf>
    <xf numFmtId="2" fontId="12" fillId="10" borderId="0" xfId="0" applyNumberFormat="1" applyFont="1" applyFill="1" applyAlignment="1">
      <alignment vertical="top"/>
    </xf>
    <xf numFmtId="0" fontId="0" fillId="10" borderId="0" xfId="0" applyFill="1"/>
    <xf numFmtId="0" fontId="15" fillId="7" borderId="0" xfId="0" applyFont="1" applyFill="1" applyAlignment="1">
      <alignment vertical="top"/>
    </xf>
    <xf numFmtId="0" fontId="15" fillId="7" borderId="0" xfId="0" applyFont="1" applyFill="1" applyAlignment="1">
      <alignment horizontal="center" vertical="top" wrapText="1"/>
    </xf>
    <xf numFmtId="0" fontId="15" fillId="7" borderId="0" xfId="0" applyFont="1" applyFill="1" applyAlignment="1">
      <alignment vertical="top" wrapText="1"/>
    </xf>
    <xf numFmtId="2" fontId="15" fillId="7" borderId="0" xfId="0" applyNumberFormat="1" applyFont="1" applyFill="1" applyAlignment="1">
      <alignment vertical="top" wrapText="1"/>
    </xf>
    <xf numFmtId="0" fontId="15" fillId="12" borderId="0" xfId="0" applyFont="1" applyFill="1" applyAlignment="1">
      <alignment horizontal="left" vertical="top"/>
    </xf>
    <xf numFmtId="0" fontId="15" fillId="12" borderId="0" xfId="0" applyFont="1" applyFill="1" applyAlignment="1">
      <alignment horizontal="center" vertical="top" wrapText="1"/>
    </xf>
    <xf numFmtId="0" fontId="15" fillId="12" borderId="0" xfId="0" applyFont="1" applyFill="1" applyAlignment="1">
      <alignment vertical="top" wrapText="1"/>
    </xf>
    <xf numFmtId="2" fontId="15" fillId="12" borderId="0" xfId="0" applyNumberFormat="1" applyFont="1" applyFill="1" applyAlignment="1">
      <alignment vertical="top" wrapText="1"/>
    </xf>
    <xf numFmtId="0" fontId="15" fillId="11" borderId="0" xfId="0" applyFont="1" applyFill="1" applyAlignment="1">
      <alignment vertical="top"/>
    </xf>
    <xf numFmtId="0" fontId="15" fillId="11" borderId="0" xfId="0" applyFont="1" applyFill="1" applyAlignment="1">
      <alignment horizontal="center" vertical="top"/>
    </xf>
    <xf numFmtId="0" fontId="15" fillId="11" borderId="0" xfId="0" applyFont="1" applyFill="1" applyAlignment="1">
      <alignment vertical="top" wrapText="1"/>
    </xf>
    <xf numFmtId="0" fontId="15" fillId="11" borderId="0" xfId="0" applyFont="1" applyFill="1" applyAlignment="1">
      <alignment horizontal="center" vertical="top" wrapText="1"/>
    </xf>
    <xf numFmtId="2" fontId="15" fillId="11" borderId="0" xfId="0" applyNumberFormat="1" applyFont="1" applyFill="1" applyAlignment="1">
      <alignment horizontal="center" vertical="top" wrapText="1"/>
    </xf>
    <xf numFmtId="0" fontId="15" fillId="6" borderId="0" xfId="0" applyFont="1" applyFill="1" applyAlignment="1">
      <alignment vertical="top"/>
    </xf>
    <xf numFmtId="0" fontId="15" fillId="6" borderId="0" xfId="0" applyFont="1" applyFill="1" applyAlignment="1">
      <alignment horizontal="center" vertical="top"/>
    </xf>
    <xf numFmtId="0" fontId="15" fillId="6" borderId="0" xfId="0" applyFont="1" applyFill="1" applyAlignment="1">
      <alignment vertical="top" wrapText="1"/>
    </xf>
    <xf numFmtId="0" fontId="15" fillId="6" borderId="0" xfId="0" applyFont="1" applyFill="1" applyAlignment="1">
      <alignment horizontal="center" vertical="top" wrapText="1"/>
    </xf>
    <xf numFmtId="2" fontId="15" fillId="6" borderId="0" xfId="0" applyNumberFormat="1" applyFont="1" applyFill="1" applyAlignment="1">
      <alignment horizontal="center" vertical="top" wrapText="1"/>
    </xf>
    <xf numFmtId="0" fontId="38" fillId="0" borderId="0" xfId="0" applyFont="1"/>
    <xf numFmtId="0" fontId="31" fillId="0" borderId="0" xfId="0" applyFont="1" applyAlignment="1">
      <alignment vertical="top" wrapText="1"/>
    </xf>
    <xf numFmtId="0" fontId="32" fillId="0" borderId="0" xfId="0" applyFont="1" applyAlignment="1">
      <alignment vertical="top" wrapText="1"/>
    </xf>
    <xf numFmtId="0" fontId="32" fillId="0" borderId="0" xfId="0" applyFont="1" applyAlignment="1">
      <alignment vertical="top"/>
    </xf>
    <xf numFmtId="0" fontId="25" fillId="0" borderId="0" xfId="0" applyFont="1" applyAlignment="1">
      <alignment wrapText="1"/>
    </xf>
    <xf numFmtId="0" fontId="14" fillId="0" borderId="2" xfId="0" applyFont="1" applyBorder="1" applyAlignment="1">
      <alignment vertical="top" wrapText="1"/>
    </xf>
    <xf numFmtId="0" fontId="0" fillId="0" borderId="0" xfId="0" applyAlignment="1">
      <alignment horizontal="center" vertical="top"/>
    </xf>
  </cellXfs>
  <cellStyles count="2">
    <cellStyle name="Hyperlink" xfId="1" builtinId="8"/>
    <cellStyle name="Normal" xfId="0" builtinId="0"/>
  </cellStyles>
  <dxfs count="3">
    <dxf>
      <font>
        <color rgb="FF018571"/>
      </font>
      <fill>
        <patternFill>
          <bgColor rgb="FFC7EAE5"/>
        </patternFill>
      </fill>
    </dxf>
    <dxf>
      <font>
        <color rgb="FF8C510A"/>
      </font>
      <fill>
        <patternFill>
          <bgColor rgb="FFF6E8C3"/>
        </patternFill>
      </fill>
    </dxf>
    <dxf>
      <font>
        <color theme="8" tint="-0.249977111117893"/>
      </font>
      <fill>
        <patternFill patternType="solid">
          <bgColor theme="8" tint="0.79998168889431442"/>
        </patternFill>
      </fill>
    </dxf>
  </dxfs>
  <tableStyles count="0" defaultTableStyle="TableStyleMedium2" defaultPivotStyle="PivotStyleLight16"/>
  <colors>
    <mruColors>
      <color rgb="FF8C510A"/>
      <color rgb="FFBF812D"/>
      <color rgb="FFF6E8C3"/>
      <color rgb="FFDFC27D"/>
      <color rgb="FFC7EAE5"/>
      <color rgb="FF80CDC1"/>
      <color rgb="FF0185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3FAE-0548-4BD8-9374-AFA4D9013676}">
  <sheetPr>
    <tabColor theme="5" tint="0.59999389629810485"/>
  </sheetPr>
  <dimension ref="A1:AH75"/>
  <sheetViews>
    <sheetView tabSelected="1" topLeftCell="U1" zoomScaleNormal="100" workbookViewId="0">
      <pane ySplit="9" topLeftCell="A10" activePane="bottomLeft" state="frozen"/>
      <selection pane="bottomLeft" activeCell="AF13" sqref="AF13"/>
    </sheetView>
  </sheetViews>
  <sheetFormatPr defaultColWidth="9.140625" defaultRowHeight="15" customHeight="1" x14ac:dyDescent="0.25"/>
  <cols>
    <col min="1" max="1" width="21.28515625" style="1" customWidth="1"/>
    <col min="2" max="2" width="18.42578125" style="1" customWidth="1"/>
    <col min="3" max="3" width="9.140625" style="1"/>
    <col min="4" max="4" width="12.7109375" style="3" customWidth="1"/>
    <col min="5" max="5" width="12.140625" style="1" customWidth="1"/>
    <col min="6" max="6" width="14" style="1" customWidth="1"/>
    <col min="7" max="7" width="13.28515625" style="1" bestFit="1" customWidth="1"/>
    <col min="8" max="8" width="14.42578125" style="1" bestFit="1" customWidth="1"/>
    <col min="9" max="9" width="12.7109375" style="1" customWidth="1"/>
    <col min="10" max="10" width="19.28515625" style="1" bestFit="1" customWidth="1"/>
    <col min="11" max="11" width="12.7109375" style="1" customWidth="1"/>
    <col min="12" max="12" width="17.140625" style="1" customWidth="1"/>
    <col min="13" max="13" width="19.140625" style="1" customWidth="1"/>
    <col min="14" max="14" width="14" style="1" bestFit="1" customWidth="1"/>
    <col min="15" max="15" width="12.85546875" style="1" bestFit="1" customWidth="1"/>
    <col min="16" max="16" width="11.85546875" style="1" bestFit="1" customWidth="1"/>
    <col min="17" max="18" width="13.140625" style="1" bestFit="1" customWidth="1"/>
    <col min="19" max="19" width="13.28515625" style="1" bestFit="1" customWidth="1"/>
    <col min="20" max="20" width="72.7109375" style="1" customWidth="1"/>
    <col min="21" max="21" width="15.28515625" style="1" customWidth="1"/>
    <col min="22" max="22" width="53.5703125" style="1" customWidth="1"/>
    <col min="23" max="23" width="13.85546875" style="1" customWidth="1"/>
    <col min="24" max="24" width="90.28515625" style="1" customWidth="1"/>
    <col min="25" max="25" width="16" style="1" customWidth="1"/>
    <col min="26" max="26" width="17.85546875" style="1" bestFit="1" customWidth="1"/>
    <col min="27" max="27" width="17.42578125" style="1" bestFit="1" customWidth="1"/>
    <col min="28" max="28" width="15" style="1" bestFit="1" customWidth="1"/>
    <col min="29" max="29" width="19.85546875" style="1" bestFit="1" customWidth="1"/>
    <col min="30" max="30" width="40" style="1" bestFit="1" customWidth="1"/>
    <col min="31" max="31" width="10.5703125" style="1" bestFit="1" customWidth="1"/>
    <col min="32" max="32" width="20.42578125" style="1" customWidth="1"/>
    <col min="33" max="16384" width="9.140625" style="1"/>
  </cols>
  <sheetData>
    <row r="1" spans="1:34" ht="18.75" x14ac:dyDescent="0.3">
      <c r="A1" s="73" t="s">
        <v>0</v>
      </c>
      <c r="B1"/>
      <c r="C1" s="72"/>
      <c r="D1" s="79"/>
      <c r="E1" s="20"/>
      <c r="F1" s="20"/>
      <c r="G1" s="20"/>
      <c r="H1" s="20"/>
      <c r="I1" s="20"/>
      <c r="J1" s="20"/>
    </row>
    <row r="2" spans="1:34" customFormat="1" ht="15" customHeight="1" x14ac:dyDescent="0.25">
      <c r="A2" t="s">
        <v>1</v>
      </c>
      <c r="C2" s="72"/>
      <c r="D2" s="79"/>
      <c r="E2" s="20"/>
      <c r="F2" s="20"/>
      <c r="G2" s="20"/>
      <c r="H2" s="20"/>
      <c r="I2" s="20"/>
      <c r="J2" s="20"/>
      <c r="Z2" s="1"/>
    </row>
    <row r="3" spans="1:34" ht="15" customHeight="1" x14ac:dyDescent="0.25">
      <c r="A3" t="s">
        <v>778</v>
      </c>
      <c r="B3"/>
      <c r="C3" s="72"/>
      <c r="D3" s="79"/>
      <c r="E3" s="20"/>
      <c r="F3" s="20"/>
      <c r="G3" s="20"/>
      <c r="H3" s="20"/>
      <c r="I3" s="20"/>
      <c r="J3" s="20"/>
    </row>
    <row r="4" spans="1:34" s="74" customFormat="1" ht="15" customHeight="1" x14ac:dyDescent="0.25">
      <c r="A4" s="74" t="s">
        <v>2</v>
      </c>
      <c r="D4" s="78"/>
      <c r="Z4" s="143"/>
    </row>
    <row r="5" spans="1:34" ht="15" customHeight="1" x14ac:dyDescent="0.25">
      <c r="A5" s="74" t="s">
        <v>3</v>
      </c>
      <c r="B5"/>
      <c r="C5" s="72"/>
      <c r="D5" s="79"/>
      <c r="E5" s="20"/>
      <c r="F5" s="20"/>
      <c r="G5" s="20"/>
      <c r="H5" s="20"/>
      <c r="I5" s="20"/>
      <c r="J5" s="20"/>
    </row>
    <row r="6" spans="1:34" customFormat="1" ht="15" customHeight="1" x14ac:dyDescent="0.25">
      <c r="A6" s="74" t="s">
        <v>4</v>
      </c>
      <c r="C6" s="72"/>
      <c r="D6" s="80"/>
      <c r="E6" s="20"/>
      <c r="F6" s="20"/>
      <c r="G6" s="20"/>
      <c r="H6" s="20"/>
      <c r="I6" s="20"/>
      <c r="J6" s="20"/>
      <c r="Z6" s="1"/>
    </row>
    <row r="7" spans="1:34" customFormat="1" ht="15" customHeight="1" x14ac:dyDescent="0.25">
      <c r="A7" s="74" t="s">
        <v>5</v>
      </c>
      <c r="C7" s="72"/>
      <c r="D7" s="80"/>
      <c r="E7" s="20"/>
      <c r="F7" s="20"/>
      <c r="G7" s="20"/>
      <c r="H7" s="20"/>
      <c r="I7" s="20"/>
      <c r="J7" s="20"/>
      <c r="Z7" s="1"/>
    </row>
    <row r="9" spans="1:34" s="2" customFormat="1" ht="45.75" thickBot="1" x14ac:dyDescent="0.3">
      <c r="A9" s="109" t="s">
        <v>6</v>
      </c>
      <c r="B9" s="109" t="s">
        <v>7</v>
      </c>
      <c r="C9" s="109" t="s">
        <v>8</v>
      </c>
      <c r="D9" s="110" t="s">
        <v>9</v>
      </c>
      <c r="E9" s="111" t="s">
        <v>10</v>
      </c>
      <c r="F9" s="111" t="s">
        <v>11</v>
      </c>
      <c r="G9" s="111" t="s">
        <v>12</v>
      </c>
      <c r="H9" s="111" t="s">
        <v>787</v>
      </c>
      <c r="I9" s="111" t="s">
        <v>783</v>
      </c>
      <c r="J9" s="111" t="s">
        <v>782</v>
      </c>
      <c r="K9" s="111" t="s">
        <v>781</v>
      </c>
      <c r="L9" s="111" t="s">
        <v>13</v>
      </c>
      <c r="M9" s="111" t="s">
        <v>14</v>
      </c>
      <c r="N9" s="111" t="s">
        <v>15</v>
      </c>
      <c r="O9" s="111" t="s">
        <v>16</v>
      </c>
      <c r="P9" s="112" t="s">
        <v>788</v>
      </c>
      <c r="Q9" s="111" t="s">
        <v>18</v>
      </c>
      <c r="R9" s="111" t="s">
        <v>19</v>
      </c>
      <c r="S9" s="111" t="s">
        <v>789</v>
      </c>
      <c r="T9" s="111" t="s">
        <v>20</v>
      </c>
      <c r="U9" s="111" t="s">
        <v>790</v>
      </c>
      <c r="V9" s="111" t="s">
        <v>791</v>
      </c>
      <c r="W9" s="111" t="s">
        <v>792</v>
      </c>
      <c r="X9" s="111" t="s">
        <v>793</v>
      </c>
      <c r="Y9" s="111" t="s">
        <v>794</v>
      </c>
      <c r="Z9" s="144" t="s">
        <v>795</v>
      </c>
      <c r="AA9" s="111" t="s">
        <v>21</v>
      </c>
      <c r="AB9" s="111" t="s">
        <v>796</v>
      </c>
      <c r="AC9" s="111" t="s">
        <v>22</v>
      </c>
      <c r="AD9" s="111" t="s">
        <v>775</v>
      </c>
      <c r="AE9" s="110" t="s">
        <v>23</v>
      </c>
      <c r="AF9" s="109" t="s">
        <v>24</v>
      </c>
    </row>
    <row r="10" spans="1:34" ht="15" customHeight="1" x14ac:dyDescent="0.25">
      <c r="A10" s="134" t="s">
        <v>765</v>
      </c>
      <c r="B10" s="135"/>
      <c r="C10" s="135"/>
      <c r="D10" s="136"/>
      <c r="E10" s="135"/>
      <c r="F10" s="135"/>
      <c r="G10" s="135"/>
      <c r="H10" s="135"/>
      <c r="I10" s="135"/>
      <c r="J10" s="137"/>
      <c r="K10" s="135"/>
      <c r="L10" s="137"/>
      <c r="M10" s="137"/>
      <c r="N10" s="137"/>
      <c r="O10" s="137"/>
      <c r="P10" s="138"/>
      <c r="Q10" s="137"/>
      <c r="R10" s="137"/>
      <c r="S10" s="136" t="s">
        <v>329</v>
      </c>
      <c r="T10" s="136"/>
      <c r="U10" s="136"/>
      <c r="V10" s="136"/>
      <c r="W10" s="136"/>
      <c r="X10" s="136"/>
      <c r="Y10" s="136"/>
      <c r="Z10" s="136"/>
      <c r="AA10" s="136"/>
      <c r="AB10" s="136" t="s">
        <v>329</v>
      </c>
      <c r="AC10" s="136"/>
      <c r="AD10" s="136"/>
      <c r="AE10" s="136"/>
      <c r="AF10" s="136"/>
      <c r="AG10" s="3"/>
      <c r="AH10" s="3"/>
    </row>
    <row r="11" spans="1:34" s="4" customFormat="1" ht="191.25" customHeight="1" x14ac:dyDescent="0.25">
      <c r="A11" s="3" t="s">
        <v>25</v>
      </c>
      <c r="B11" s="3" t="s">
        <v>26</v>
      </c>
      <c r="C11" s="3">
        <v>2007</v>
      </c>
      <c r="D11" s="3" t="s">
        <v>27</v>
      </c>
      <c r="E11" s="31" t="s">
        <v>776</v>
      </c>
      <c r="F11" s="31" t="s">
        <v>29</v>
      </c>
      <c r="G11" s="31">
        <v>3</v>
      </c>
      <c r="H11" s="31" t="str" cm="1">
        <f t="array" ref="H11">_xlfn.TEXTJOIN(", ", TRUE, IF(OR(ISNUMBER(SEARCH({"blood pressure","heart rate","anthropometrics","ecg","vo2max","spirometry","respiratory rate"},I11))),"Physiological", ""), IF(OR(ISNUMBER(SEARCH({"genetic"},I11))),"Risk", ""), IF(OR(ISNUMBER(SEARCH({"ultrasound","uv photog","facial","oral","CT scan"},I11))),"Imaging", ""), IF(OR(ISNUMBER(SEARCH({"glucose","hb1ac","lipids","nutrient"},I11))),"Blood", ""),IF(OR(ISNUMBER(SEARCH({"anthropometrics"},I11))),"Anthropometry", ""))</f>
        <v>Physiological, Blood, Anthropometry</v>
      </c>
      <c r="I11" s="31" t="s">
        <v>30</v>
      </c>
      <c r="J11" s="31" t="s">
        <v>31</v>
      </c>
      <c r="K11" s="31">
        <v>4</v>
      </c>
      <c r="L11" s="31" t="s">
        <v>32</v>
      </c>
      <c r="M11" s="31" t="s">
        <v>33</v>
      </c>
      <c r="N11" s="31">
        <v>87</v>
      </c>
      <c r="O11" s="31">
        <v>58.6</v>
      </c>
      <c r="P11" s="59">
        <v>64.400000000000006</v>
      </c>
      <c r="Q11" s="31" t="s">
        <v>34</v>
      </c>
      <c r="R11" s="31" t="s">
        <v>34</v>
      </c>
      <c r="S11" s="31" t="s">
        <v>35</v>
      </c>
      <c r="T11" s="31" t="s">
        <v>780</v>
      </c>
      <c r="U11" s="31" t="s">
        <v>28</v>
      </c>
      <c r="V11" s="31" t="s">
        <v>36</v>
      </c>
      <c r="W11" s="31" t="s">
        <v>28</v>
      </c>
      <c r="X11" s="12" t="s">
        <v>37</v>
      </c>
      <c r="Y11" s="31" t="s">
        <v>34</v>
      </c>
      <c r="Z11" s="31" t="s">
        <v>38</v>
      </c>
      <c r="AA11" s="31">
        <v>1</v>
      </c>
      <c r="AB11" s="31" t="s">
        <v>39</v>
      </c>
      <c r="AC11" s="31" t="s">
        <v>758</v>
      </c>
      <c r="AD11" s="140" t="s">
        <v>40</v>
      </c>
      <c r="AE11" s="3">
        <v>2</v>
      </c>
    </row>
    <row r="12" spans="1:34" s="3" customFormat="1" ht="198.75" customHeight="1" x14ac:dyDescent="0.25">
      <c r="A12" s="3" t="s">
        <v>41</v>
      </c>
      <c r="B12" s="3" t="s">
        <v>42</v>
      </c>
      <c r="C12" s="3">
        <v>2019</v>
      </c>
      <c r="D12" s="3" t="s">
        <v>43</v>
      </c>
      <c r="E12" s="31" t="s">
        <v>776</v>
      </c>
      <c r="F12" s="31" t="s">
        <v>44</v>
      </c>
      <c r="G12" s="31">
        <v>1</v>
      </c>
      <c r="H12" s="31" t="str" cm="1">
        <f t="array" ref="H12">_xlfn.TEXTJOIN(", ", TRUE, IF(OR(ISNUMBER(SEARCH({"blood pressure","heart rate","anthropometrics","ecg","vo2max","spirometry","respiratory rate"},I12))),"Physiological", ""), IF(OR(ISNUMBER(SEARCH({"genetic"},I12))),"Risk", ""), IF(OR(ISNUMBER(SEARCH({"ultrasound","uv photog","facial","oral","CT scan"},I12))),"Imaging", ""), IF(OR(ISNUMBER(SEARCH({"glucose","hb1ac","lipids","nutrient"},I12))),"Blood", ""),IF(OR(ISNUMBER(SEARCH({"anthropometrics"},I12))),"Anthropometry", ""))</f>
        <v>Risk</v>
      </c>
      <c r="I12" s="31" t="s">
        <v>45</v>
      </c>
      <c r="J12" s="31" t="s">
        <v>45</v>
      </c>
      <c r="K12" s="31">
        <v>1</v>
      </c>
      <c r="L12" s="31" t="s">
        <v>46</v>
      </c>
      <c r="M12" s="31" t="s">
        <v>47</v>
      </c>
      <c r="N12" s="31">
        <v>55</v>
      </c>
      <c r="O12" s="31">
        <v>74.599999999999994</v>
      </c>
      <c r="P12" s="59">
        <v>45.8</v>
      </c>
      <c r="Q12" s="31" t="s">
        <v>28</v>
      </c>
      <c r="R12" s="31" t="s">
        <v>28</v>
      </c>
      <c r="S12" s="31" t="s">
        <v>48</v>
      </c>
      <c r="T12" s="31" t="s">
        <v>49</v>
      </c>
      <c r="U12" s="31" t="s">
        <v>28</v>
      </c>
      <c r="V12" s="31" t="s">
        <v>50</v>
      </c>
      <c r="W12" s="31" t="s">
        <v>28</v>
      </c>
      <c r="X12" s="31" t="s">
        <v>51</v>
      </c>
      <c r="Y12" s="31" t="s">
        <v>34</v>
      </c>
      <c r="Z12" s="31" t="s">
        <v>38</v>
      </c>
      <c r="AA12" s="31">
        <v>1</v>
      </c>
      <c r="AB12" s="31" t="s">
        <v>39</v>
      </c>
      <c r="AC12" s="31" t="s">
        <v>52</v>
      </c>
      <c r="AD12" s="140" t="s">
        <v>53</v>
      </c>
      <c r="AE12" s="3">
        <v>1</v>
      </c>
    </row>
    <row r="13" spans="1:34" s="3" customFormat="1" ht="126" customHeight="1" x14ac:dyDescent="0.25">
      <c r="A13" s="3" t="s">
        <v>54</v>
      </c>
      <c r="B13" s="3" t="s">
        <v>55</v>
      </c>
      <c r="C13" s="3">
        <v>2017</v>
      </c>
      <c r="D13" s="3" t="s">
        <v>56</v>
      </c>
      <c r="E13" s="60" t="s">
        <v>776</v>
      </c>
      <c r="F13" s="31" t="s">
        <v>44</v>
      </c>
      <c r="G13" s="31">
        <v>1</v>
      </c>
      <c r="H13" s="31" t="str" cm="1">
        <f t="array" ref="H13">_xlfn.TEXTJOIN(", ", TRUE, IF(OR(ISNUMBER(SEARCH({"blood pressure","heart rate","anthropometrics","ecg","vo2max","spirometry","respiratory rate"},I13))),"Physiological", ""), IF(OR(ISNUMBER(SEARCH({"genetic"},I13))),"Risk", ""), IF(OR(ISNUMBER(SEARCH({"ultrasound","uv photog","facial","oral","CT scan"},I13))),"Imaging", ""), IF(OR(ISNUMBER(SEARCH({"glucose","hb1ac","lipids","nutrient"},I13))),"Blood", ""),IF(OR(ISNUMBER(SEARCH({"anthropometrics"},I13))),"Anthropometry", ""))</f>
        <v>Physiological, Risk, Blood, Anthropometry</v>
      </c>
      <c r="I13" s="31" t="s">
        <v>57</v>
      </c>
      <c r="J13" s="31" t="s">
        <v>58</v>
      </c>
      <c r="K13" s="31">
        <v>5</v>
      </c>
      <c r="L13" s="31" t="s">
        <v>46</v>
      </c>
      <c r="M13" s="31" t="s">
        <v>59</v>
      </c>
      <c r="N13" s="31">
        <v>1488</v>
      </c>
      <c r="O13" s="31">
        <v>59</v>
      </c>
      <c r="P13" s="59">
        <v>39.799999999999997</v>
      </c>
      <c r="Q13" s="31" t="s">
        <v>34</v>
      </c>
      <c r="R13" s="31" t="s">
        <v>34</v>
      </c>
      <c r="S13" s="31" t="s">
        <v>60</v>
      </c>
      <c r="T13" s="31" t="s">
        <v>61</v>
      </c>
      <c r="U13" s="31" t="s">
        <v>34</v>
      </c>
      <c r="V13" s="60" t="s">
        <v>62</v>
      </c>
      <c r="W13" s="60" t="s">
        <v>28</v>
      </c>
      <c r="X13" s="31" t="s">
        <v>63</v>
      </c>
      <c r="Y13" s="60" t="s">
        <v>34</v>
      </c>
      <c r="Z13" s="31" t="s">
        <v>64</v>
      </c>
      <c r="AA13" s="31">
        <v>1</v>
      </c>
      <c r="AB13" s="31" t="s">
        <v>39</v>
      </c>
      <c r="AC13" s="31" t="s">
        <v>65</v>
      </c>
      <c r="AD13" s="141" t="s">
        <v>66</v>
      </c>
      <c r="AE13" s="3">
        <v>3</v>
      </c>
      <c r="AF13" s="3" t="s">
        <v>67</v>
      </c>
    </row>
    <row r="14" spans="1:34" s="3" customFormat="1" ht="381.75" customHeight="1" x14ac:dyDescent="0.25">
      <c r="A14" s="3" t="s">
        <v>68</v>
      </c>
      <c r="B14" s="3" t="s">
        <v>69</v>
      </c>
      <c r="C14" s="3">
        <v>2014</v>
      </c>
      <c r="D14" s="3" t="s">
        <v>70</v>
      </c>
      <c r="E14" s="31" t="s">
        <v>776</v>
      </c>
      <c r="F14" s="31" t="s">
        <v>44</v>
      </c>
      <c r="G14" s="31">
        <v>1</v>
      </c>
      <c r="H14" s="31" t="str" cm="1">
        <f t="array" ref="H14">_xlfn.TEXTJOIN(", ", TRUE, IF(OR(ISNUMBER(SEARCH({"blood pressure","heart rate","anthropometrics","ecg","vo2max","spirometry","respiratory rate"},I14))),"Physiological", ""), IF(OR(ISNUMBER(SEARCH({"genetic"},I14))),"Risk", ""), IF(OR(ISNUMBER(SEARCH({"ultrasound","uv photog","facial","oral","CT scan"},I14))),"Imaging", ""), IF(OR(ISNUMBER(SEARCH({"glucose","hb1ac","lipids","nutrient"},I14))),"Blood", ""),IF(OR(ISNUMBER(SEARCH({"anthropometrics"},I14))),"Anthropometry", ""))</f>
        <v>Risk</v>
      </c>
      <c r="I14" s="31" t="s">
        <v>45</v>
      </c>
      <c r="J14" s="31" t="s">
        <v>784</v>
      </c>
      <c r="K14" s="31">
        <v>1</v>
      </c>
      <c r="L14" s="31" t="s">
        <v>71</v>
      </c>
      <c r="M14" s="31" t="s">
        <v>72</v>
      </c>
      <c r="N14" s="31">
        <v>138</v>
      </c>
      <c r="O14" s="31">
        <v>78</v>
      </c>
      <c r="P14" s="59">
        <v>26.5</v>
      </c>
      <c r="Q14" s="31" t="s">
        <v>34</v>
      </c>
      <c r="R14" s="31" t="s">
        <v>28</v>
      </c>
      <c r="S14" s="31" t="s">
        <v>35</v>
      </c>
      <c r="T14" s="31" t="s">
        <v>73</v>
      </c>
      <c r="U14" s="31" t="s">
        <v>34</v>
      </c>
      <c r="V14" s="31" t="s">
        <v>74</v>
      </c>
      <c r="W14" s="31" t="s">
        <v>28</v>
      </c>
      <c r="X14" s="31" t="s">
        <v>75</v>
      </c>
      <c r="Y14" s="31" t="s">
        <v>34</v>
      </c>
      <c r="Z14" s="31" t="s">
        <v>64</v>
      </c>
      <c r="AA14" s="31">
        <v>1</v>
      </c>
      <c r="AB14" s="31" t="s">
        <v>39</v>
      </c>
      <c r="AC14" s="31" t="s">
        <v>65</v>
      </c>
      <c r="AD14" s="57" t="s">
        <v>76</v>
      </c>
      <c r="AE14" s="3">
        <v>2</v>
      </c>
    </row>
    <row r="15" spans="1:34" s="3" customFormat="1" ht="174" customHeight="1" x14ac:dyDescent="0.25">
      <c r="A15" s="3" t="s">
        <v>77</v>
      </c>
      <c r="B15" s="3" t="s">
        <v>78</v>
      </c>
      <c r="C15" s="3">
        <v>2002</v>
      </c>
      <c r="D15" s="3" t="s">
        <v>79</v>
      </c>
      <c r="E15" s="31" t="s">
        <v>776</v>
      </c>
      <c r="F15" s="31" t="s">
        <v>44</v>
      </c>
      <c r="G15" s="31">
        <v>1</v>
      </c>
      <c r="H15" s="31" t="str" cm="1">
        <f t="array" ref="H15">_xlfn.TEXTJOIN(", ", TRUE, IF(OR(ISNUMBER(SEARCH({"blood pressure","heart rate","anthropometrics","ecg","vo2max","spirometry","respiratory rate"},I15))),"Physiological", ""), IF(OR(ISNUMBER(SEARCH({"genetic"},I15))),"Risk", ""), IF(OR(ISNUMBER(SEARCH({"ultrasound","uv photog","facial","oral","CT scan"},I15))),"Imaging", ""), IF(OR(ISNUMBER(SEARCH({"glucose","hb1ac","lipids","nutrient"},I15))),"Blood", ""),IF(OR(ISNUMBER(SEARCH({"anthropometrics"},I15))),"Anthropometry", ""))</f>
        <v>Blood</v>
      </c>
      <c r="I15" s="31" t="s">
        <v>80</v>
      </c>
      <c r="J15" s="31" t="s">
        <v>81</v>
      </c>
      <c r="K15" s="31">
        <v>1</v>
      </c>
      <c r="L15" s="31" t="s">
        <v>82</v>
      </c>
      <c r="M15" s="31" t="s">
        <v>83</v>
      </c>
      <c r="N15" s="31">
        <v>45</v>
      </c>
      <c r="O15" s="31">
        <v>0</v>
      </c>
      <c r="P15" s="59">
        <v>21.5</v>
      </c>
      <c r="Q15" s="31" t="s">
        <v>34</v>
      </c>
      <c r="R15" s="31" t="s">
        <v>34</v>
      </c>
      <c r="S15" s="31" t="s">
        <v>84</v>
      </c>
      <c r="T15" s="31" t="s">
        <v>85</v>
      </c>
      <c r="U15" s="31" t="s">
        <v>28</v>
      </c>
      <c r="V15" s="31" t="s">
        <v>86</v>
      </c>
      <c r="W15" s="31" t="s">
        <v>28</v>
      </c>
      <c r="X15" s="31" t="s">
        <v>87</v>
      </c>
      <c r="Y15" s="31" t="s">
        <v>34</v>
      </c>
      <c r="Z15" s="31" t="s">
        <v>38</v>
      </c>
      <c r="AA15" s="31">
        <v>1</v>
      </c>
      <c r="AB15" s="31" t="s">
        <v>39</v>
      </c>
      <c r="AC15" s="31" t="s">
        <v>65</v>
      </c>
      <c r="AD15" s="140" t="s">
        <v>88</v>
      </c>
      <c r="AE15" s="3">
        <v>2</v>
      </c>
    </row>
    <row r="16" spans="1:34" s="3" customFormat="1" ht="158.25" customHeight="1" x14ac:dyDescent="0.25">
      <c r="A16" s="3" t="s">
        <v>89</v>
      </c>
      <c r="B16" s="3" t="s">
        <v>90</v>
      </c>
      <c r="C16" s="3">
        <v>2016</v>
      </c>
      <c r="D16" s="3" t="s">
        <v>91</v>
      </c>
      <c r="E16" s="31" t="s">
        <v>776</v>
      </c>
      <c r="F16" s="31" t="s">
        <v>92</v>
      </c>
      <c r="G16" s="31">
        <v>2</v>
      </c>
      <c r="H16" s="31" t="str" cm="1">
        <f t="array" ref="H16">_xlfn.TEXTJOIN(", ", TRUE, IF(OR(ISNUMBER(SEARCH({"blood pressure","heart rate","anthropometrics","ecg","vo2max","spirometry","respiratory rate"},I16))),"Physiological", ""), IF(OR(ISNUMBER(SEARCH({"genetic"},I16))),"Risk", ""), IF(OR(ISNUMBER(SEARCH({"ultrasound","uv photog","facial","oral","CT scan"},I16))),"Imaging", ""), IF(OR(ISNUMBER(SEARCH({"glucose","hb1ac","lipids","nutrient"},I16))),"Blood", ""),IF(OR(ISNUMBER(SEARCH({"anthropometrics"},I16))),"Anthropometry", ""))</f>
        <v>Physiological, Risk, Blood, Anthropometry</v>
      </c>
      <c r="I16" s="31" t="s">
        <v>93</v>
      </c>
      <c r="J16" s="31" t="s">
        <v>94</v>
      </c>
      <c r="K16" s="31">
        <v>4</v>
      </c>
      <c r="L16" s="31" t="s">
        <v>46</v>
      </c>
      <c r="M16" s="31" t="s">
        <v>95</v>
      </c>
      <c r="N16" s="31">
        <v>1270</v>
      </c>
      <c r="O16" s="31">
        <v>59</v>
      </c>
      <c r="P16" s="59">
        <v>39.9</v>
      </c>
      <c r="Q16" s="31" t="s">
        <v>96</v>
      </c>
      <c r="R16" s="31" t="s">
        <v>96</v>
      </c>
      <c r="S16" s="31" t="s">
        <v>60</v>
      </c>
      <c r="T16" s="31" t="s">
        <v>97</v>
      </c>
      <c r="U16" s="31" t="s">
        <v>34</v>
      </c>
      <c r="V16" s="31" t="s">
        <v>98</v>
      </c>
      <c r="W16" s="31" t="s">
        <v>28</v>
      </c>
      <c r="X16" s="31" t="s">
        <v>99</v>
      </c>
      <c r="Y16" s="31" t="s">
        <v>34</v>
      </c>
      <c r="Z16" s="31" t="s">
        <v>64</v>
      </c>
      <c r="AA16" s="31">
        <v>1</v>
      </c>
      <c r="AB16" s="31" t="s">
        <v>39</v>
      </c>
      <c r="AC16" s="31" t="s">
        <v>100</v>
      </c>
      <c r="AD16" s="140" t="s">
        <v>101</v>
      </c>
      <c r="AE16" s="3">
        <v>4</v>
      </c>
      <c r="AF16" s="3" t="s">
        <v>67</v>
      </c>
    </row>
    <row r="17" spans="1:32" s="3" customFormat="1" ht="409.5" customHeight="1" x14ac:dyDescent="0.25">
      <c r="A17" s="3" t="s">
        <v>102</v>
      </c>
      <c r="B17" s="3" t="s">
        <v>103</v>
      </c>
      <c r="C17" s="3">
        <v>2016</v>
      </c>
      <c r="D17" s="3" t="s">
        <v>104</v>
      </c>
      <c r="E17" s="31" t="s">
        <v>776</v>
      </c>
      <c r="F17" s="31" t="s">
        <v>105</v>
      </c>
      <c r="G17" s="31">
        <v>2</v>
      </c>
      <c r="H17" s="31" t="str" cm="1">
        <f t="array" ref="H17">_xlfn.TEXTJOIN(", ", TRUE, IF(OR(ISNUMBER(SEARCH({"blood pressure","heart rate","anthropometrics","ecg","vo2max","spirometry","respiratory rate"},I17))),"Physiological", ""), IF(OR(ISNUMBER(SEARCH({"genetic"},I17))),"Risk", ""), IF(OR(ISNUMBER(SEARCH({"ultrasound","uv photog","facial","oral","CT scan"},I17))),"Imaging", ""), IF(OR(ISNUMBER(SEARCH({"glucose","hb1ac","lipids","nutrient"},I17))),"Blood", ""),IF(OR(ISNUMBER(SEARCH({"anthropometrics"},I17))),"Anthropometry", ""))</f>
        <v>Physiological, Blood, Anthropometry</v>
      </c>
      <c r="I17" s="31" t="s">
        <v>106</v>
      </c>
      <c r="J17" s="31" t="s">
        <v>107</v>
      </c>
      <c r="K17" s="31">
        <v>4</v>
      </c>
      <c r="L17" s="31" t="s">
        <v>46</v>
      </c>
      <c r="M17" s="31" t="s">
        <v>108</v>
      </c>
      <c r="N17" s="31">
        <v>149</v>
      </c>
      <c r="O17" s="31">
        <v>89</v>
      </c>
      <c r="P17" s="59">
        <v>51.6</v>
      </c>
      <c r="Q17" s="31" t="s">
        <v>34</v>
      </c>
      <c r="R17" s="31" t="s">
        <v>34</v>
      </c>
      <c r="S17" s="31" t="s">
        <v>35</v>
      </c>
      <c r="T17" s="31" t="s">
        <v>109</v>
      </c>
      <c r="U17" s="31" t="s">
        <v>28</v>
      </c>
      <c r="V17" s="31" t="s">
        <v>110</v>
      </c>
      <c r="W17" s="31" t="s">
        <v>28</v>
      </c>
      <c r="X17" s="12" t="s">
        <v>111</v>
      </c>
      <c r="Y17" s="31" t="s">
        <v>34</v>
      </c>
      <c r="Z17" s="31" t="s">
        <v>38</v>
      </c>
      <c r="AA17" s="31">
        <v>1</v>
      </c>
      <c r="AB17" s="31" t="s">
        <v>39</v>
      </c>
      <c r="AC17" s="31" t="s">
        <v>65</v>
      </c>
      <c r="AD17" s="57" t="s">
        <v>112</v>
      </c>
      <c r="AE17" s="3">
        <v>4</v>
      </c>
      <c r="AF17" s="3" t="s">
        <v>113</v>
      </c>
    </row>
    <row r="18" spans="1:32" s="3" customFormat="1" ht="189.75" customHeight="1" x14ac:dyDescent="0.25">
      <c r="A18" s="3" t="s">
        <v>114</v>
      </c>
      <c r="B18" s="3" t="s">
        <v>115</v>
      </c>
      <c r="C18" s="3">
        <v>2013</v>
      </c>
      <c r="D18" s="3" t="s">
        <v>116</v>
      </c>
      <c r="E18" s="31" t="s">
        <v>776</v>
      </c>
      <c r="F18" s="31" t="s">
        <v>92</v>
      </c>
      <c r="G18" s="31">
        <v>2</v>
      </c>
      <c r="H18" s="31" t="str" cm="1">
        <f t="array" ref="H18">_xlfn.TEXTJOIN(", ", TRUE, IF(OR(ISNUMBER(SEARCH({"blood pressure","heart rate","anthropometrics","ecg","vo2max","spirometry","respiratory rate"},I18))),"Physiological", ""), IF(OR(ISNUMBER(SEARCH({"genetic"},I18))),"Risk", ""), IF(OR(ISNUMBER(SEARCH({"ultrasound","uv photog","facial","oral","CT scan"},I18))),"Imaging", ""), IF(OR(ISNUMBER(SEARCH({"glucose","hb1ac","lipids","nutrient"},I18))),"Blood", ""),IF(OR(ISNUMBER(SEARCH({"anthropometrics"},I18))),"Anthropometry", ""))</f>
        <v>Physiological, Anthropometry</v>
      </c>
      <c r="I18" s="31" t="s">
        <v>117</v>
      </c>
      <c r="J18" s="31" t="s">
        <v>118</v>
      </c>
      <c r="K18" s="31">
        <v>1</v>
      </c>
      <c r="L18" s="31" t="s">
        <v>119</v>
      </c>
      <c r="M18" s="31" t="s">
        <v>120</v>
      </c>
      <c r="N18" s="31">
        <v>349</v>
      </c>
      <c r="O18" s="31">
        <v>78.900000000000006</v>
      </c>
      <c r="P18" s="59">
        <f>(30*21.7+44.5*17.9+54.5*42.8+70*17.6)/100</f>
        <v>50.121499999999997</v>
      </c>
      <c r="Q18" s="31" t="s">
        <v>34</v>
      </c>
      <c r="R18" s="31" t="s">
        <v>34</v>
      </c>
      <c r="S18" s="31" t="s">
        <v>60</v>
      </c>
      <c r="T18" s="31" t="s">
        <v>121</v>
      </c>
      <c r="U18" s="31" t="s">
        <v>34</v>
      </c>
      <c r="V18" s="31" t="s">
        <v>122</v>
      </c>
      <c r="W18" s="31" t="s">
        <v>28</v>
      </c>
      <c r="X18" s="12" t="s">
        <v>123</v>
      </c>
      <c r="Y18" s="31" t="s">
        <v>34</v>
      </c>
      <c r="Z18" s="31" t="s">
        <v>124</v>
      </c>
      <c r="AA18" s="31">
        <v>1</v>
      </c>
      <c r="AB18" s="31" t="s">
        <v>125</v>
      </c>
      <c r="AC18" s="31" t="s">
        <v>65</v>
      </c>
      <c r="AD18" s="57" t="s">
        <v>126</v>
      </c>
      <c r="AE18" s="3">
        <v>4</v>
      </c>
      <c r="AF18" s="3" t="s">
        <v>127</v>
      </c>
    </row>
    <row r="19" spans="1:32" s="3" customFormat="1" ht="239.25" customHeight="1" x14ac:dyDescent="0.25">
      <c r="A19" s="3" t="s">
        <v>128</v>
      </c>
      <c r="B19" s="3" t="s">
        <v>129</v>
      </c>
      <c r="C19" s="3">
        <v>2017</v>
      </c>
      <c r="D19" s="3" t="s">
        <v>130</v>
      </c>
      <c r="E19" s="31" t="s">
        <v>776</v>
      </c>
      <c r="F19" s="31" t="s">
        <v>131</v>
      </c>
      <c r="G19" s="31">
        <v>3</v>
      </c>
      <c r="H19" s="31" t="str" cm="1">
        <f t="array" ref="H19">_xlfn.TEXTJOIN(", ", TRUE, IF(OR(ISNUMBER(SEARCH({"blood pressure","heart rate","anthropometrics","ecg","vo2max","spirometry","respiratory rate"},I19))),"Physiological", ""), IF(OR(ISNUMBER(SEARCH({"genetic"},I19))),"Risk", ""), IF(OR(ISNUMBER(SEARCH({"ultrasound","uv photog","facial","oral","CT scan"},I19))),"Imaging", ""), IF(OR(ISNUMBER(SEARCH({"glucose","hb1ac","lipids","nutrient"},I19))),"Blood", ""),IF(OR(ISNUMBER(SEARCH({"anthropometrics"},I19))),"Anthropometry", ""))</f>
        <v>Physiological, Blood, Anthropometry</v>
      </c>
      <c r="I19" s="12" t="s">
        <v>106</v>
      </c>
      <c r="J19" s="8" t="s">
        <v>132</v>
      </c>
      <c r="K19" s="31">
        <v>4</v>
      </c>
      <c r="L19" s="31" t="s">
        <v>46</v>
      </c>
      <c r="M19" s="31" t="s">
        <v>133</v>
      </c>
      <c r="N19" s="31">
        <v>180</v>
      </c>
      <c r="O19" s="31">
        <v>90</v>
      </c>
      <c r="P19" s="59">
        <f>(46.94*92+44.58*88)/(92+88)</f>
        <v>45.786222222222221</v>
      </c>
      <c r="Q19" s="31" t="s">
        <v>28</v>
      </c>
      <c r="R19" s="31" t="s">
        <v>28</v>
      </c>
      <c r="S19" s="31" t="s">
        <v>35</v>
      </c>
      <c r="T19" s="31" t="s">
        <v>134</v>
      </c>
      <c r="U19" s="31" t="s">
        <v>28</v>
      </c>
      <c r="V19" s="31" t="s">
        <v>135</v>
      </c>
      <c r="W19" s="31" t="s">
        <v>28</v>
      </c>
      <c r="X19" s="12" t="s">
        <v>136</v>
      </c>
      <c r="Y19" s="31" t="s">
        <v>28</v>
      </c>
      <c r="Z19" s="31" t="s">
        <v>137</v>
      </c>
      <c r="AA19" s="31">
        <v>2</v>
      </c>
      <c r="AB19" s="31" t="s">
        <v>39</v>
      </c>
      <c r="AC19" s="31" t="s">
        <v>759</v>
      </c>
      <c r="AD19" s="57" t="s">
        <v>138</v>
      </c>
      <c r="AE19" s="3">
        <v>3</v>
      </c>
      <c r="AF19" s="3" t="s">
        <v>67</v>
      </c>
    </row>
    <row r="20" spans="1:32" s="3" customFormat="1" ht="240" customHeight="1" x14ac:dyDescent="0.25">
      <c r="A20" s="3" t="s">
        <v>139</v>
      </c>
      <c r="B20" s="3" t="s">
        <v>140</v>
      </c>
      <c r="C20" s="3">
        <v>2020</v>
      </c>
      <c r="D20" s="3" t="s">
        <v>141</v>
      </c>
      <c r="E20" s="31" t="s">
        <v>776</v>
      </c>
      <c r="F20" s="31" t="s">
        <v>142</v>
      </c>
      <c r="G20" s="31">
        <v>1</v>
      </c>
      <c r="H20" s="31" t="str" cm="1">
        <f t="array" ref="H20">_xlfn.TEXTJOIN(", ", TRUE, IF(OR(ISNUMBER(SEARCH({"blood pressure","heart rate","anthropometrics","ecg","vo2max","spirometry","respiratory rate"},I20))),"Physiological", ""), IF(OR(ISNUMBER(SEARCH({"genetic"},I20))),"Risk", ""), IF(OR(ISNUMBER(SEARCH({"ultrasound","uv photog","facial","oral","CT scan"},I20))),"Imaging", ""), IF(OR(ISNUMBER(SEARCH({"glucose","hb1ac","lipids","nutrient"},I20))),"Blood", ""),IF(OR(ISNUMBER(SEARCH({"anthropometrics"},I20))),"Anthropometry", ""))</f>
        <v>Physiological</v>
      </c>
      <c r="I20" s="31" t="s">
        <v>143</v>
      </c>
      <c r="J20" s="31" t="s">
        <v>144</v>
      </c>
      <c r="K20" s="31">
        <v>1</v>
      </c>
      <c r="L20" s="31" t="s">
        <v>145</v>
      </c>
      <c r="M20" s="31" t="s">
        <v>146</v>
      </c>
      <c r="N20" s="31">
        <v>169</v>
      </c>
      <c r="O20" s="31">
        <v>55</v>
      </c>
      <c r="P20" s="59">
        <v>33.200000000000003</v>
      </c>
      <c r="Q20" s="31" t="s">
        <v>34</v>
      </c>
      <c r="R20" s="31" t="s">
        <v>34</v>
      </c>
      <c r="S20" s="31" t="s">
        <v>147</v>
      </c>
      <c r="T20" s="31" t="s">
        <v>148</v>
      </c>
      <c r="U20" s="31" t="s">
        <v>34</v>
      </c>
      <c r="V20" s="31" t="s">
        <v>149</v>
      </c>
      <c r="W20" s="31" t="s">
        <v>34</v>
      </c>
      <c r="X20" s="31" t="s">
        <v>150</v>
      </c>
      <c r="Y20" s="31" t="s">
        <v>34</v>
      </c>
      <c r="Z20" s="31" t="s">
        <v>124</v>
      </c>
      <c r="AA20" s="31">
        <v>1</v>
      </c>
      <c r="AB20" s="31" t="s">
        <v>125</v>
      </c>
      <c r="AC20" s="31" t="s">
        <v>65</v>
      </c>
      <c r="AD20" s="57" t="s">
        <v>151</v>
      </c>
      <c r="AE20" s="3">
        <v>4</v>
      </c>
      <c r="AF20" s="3" t="s">
        <v>152</v>
      </c>
    </row>
    <row r="21" spans="1:32" s="3" customFormat="1" ht="242.25" customHeight="1" x14ac:dyDescent="0.25">
      <c r="A21" s="3" t="s">
        <v>153</v>
      </c>
      <c r="B21" s="3" t="s">
        <v>154</v>
      </c>
      <c r="C21" s="3">
        <v>2018</v>
      </c>
      <c r="D21" s="3" t="s">
        <v>155</v>
      </c>
      <c r="E21" s="31" t="s">
        <v>777</v>
      </c>
      <c r="F21" s="31" t="s">
        <v>44</v>
      </c>
      <c r="G21" s="31">
        <v>1</v>
      </c>
      <c r="H21" s="31" t="str" cm="1">
        <f t="array" ref="H21">_xlfn.TEXTJOIN(", ", TRUE, IF(OR(ISNUMBER(SEARCH({"blood pressure","heart rate","anthropometrics","ecg","vo2max","spirometry","respiratory rate"},I21))),"Physiological", ""), IF(OR(ISNUMBER(SEARCH({"genetic"},I21))),"Risk", ""), IF(OR(ISNUMBER(SEARCH({"ultrasound","uv photog","facial","oral","CT scan"},I21))),"Imaging", ""), IF(OR(ISNUMBER(SEARCH({"glucose","hb1ac","lipids","nutrient"},I21))),"Blood", ""),IF(OR(ISNUMBER(SEARCH({"anthropometrics"},I21))),"Anthropometry", ""))</f>
        <v>Physiological, Blood, Anthropometry</v>
      </c>
      <c r="I21" s="12" t="s">
        <v>156</v>
      </c>
      <c r="J21" s="31" t="s">
        <v>157</v>
      </c>
      <c r="K21" s="31">
        <v>3</v>
      </c>
      <c r="L21" s="31" t="s">
        <v>158</v>
      </c>
      <c r="M21" s="31" t="s">
        <v>159</v>
      </c>
      <c r="N21" s="31">
        <v>92</v>
      </c>
      <c r="O21" s="31">
        <v>52.2</v>
      </c>
      <c r="P21" s="59">
        <v>54.5</v>
      </c>
      <c r="Q21" s="31" t="s">
        <v>34</v>
      </c>
      <c r="R21" s="31" t="s">
        <v>34</v>
      </c>
      <c r="S21" s="31" t="s">
        <v>160</v>
      </c>
      <c r="T21" s="31" t="s">
        <v>161</v>
      </c>
      <c r="U21" s="31" t="s">
        <v>28</v>
      </c>
      <c r="V21" s="31" t="s">
        <v>162</v>
      </c>
      <c r="W21" s="31" t="s">
        <v>34</v>
      </c>
      <c r="X21" s="12" t="s">
        <v>163</v>
      </c>
      <c r="Y21" s="31" t="s">
        <v>34</v>
      </c>
      <c r="Z21" s="31" t="s">
        <v>124</v>
      </c>
      <c r="AA21" s="31">
        <v>1</v>
      </c>
      <c r="AB21" s="31" t="s">
        <v>125</v>
      </c>
      <c r="AC21" s="31" t="s">
        <v>65</v>
      </c>
      <c r="AD21" s="57" t="s">
        <v>164</v>
      </c>
      <c r="AE21" s="3">
        <v>2</v>
      </c>
      <c r="AF21" s="3" t="s">
        <v>152</v>
      </c>
    </row>
    <row r="22" spans="1:32" s="3" customFormat="1" ht="409.5" customHeight="1" x14ac:dyDescent="0.25">
      <c r="A22" s="3" t="s">
        <v>165</v>
      </c>
      <c r="B22" s="3" t="s">
        <v>166</v>
      </c>
      <c r="C22" s="3">
        <v>2017</v>
      </c>
      <c r="D22" s="3" t="s">
        <v>167</v>
      </c>
      <c r="E22" s="31" t="s">
        <v>777</v>
      </c>
      <c r="F22" s="31" t="s">
        <v>44</v>
      </c>
      <c r="G22" s="31">
        <v>1</v>
      </c>
      <c r="H22" s="31" t="str" cm="1">
        <f t="array" ref="H22">_xlfn.TEXTJOIN(", ", TRUE, IF(OR(ISNUMBER(SEARCH({"blood pressure","heart rate","anthropometrics","ecg","vo2max","spirometry","respiratory rate"},I22))),"Physiological", ""), IF(OR(ISNUMBER(SEARCH({"genetic"},I22))),"Risk", ""), IF(OR(ISNUMBER(SEARCH({"ultrasound","uv photog","facial","oral","CT scan"},I22))),"Imaging", ""), IF(OR(ISNUMBER(SEARCH({"glucose","hb1ac","lipids","nutrient"},I22))),"Blood", ""),IF(OR(ISNUMBER(SEARCH({"anthropometrics"},I22))),"Anthropometry", ""))</f>
        <v>Blood</v>
      </c>
      <c r="I22" s="31" t="s">
        <v>168</v>
      </c>
      <c r="J22" s="31" t="s">
        <v>169</v>
      </c>
      <c r="K22" s="31">
        <v>1</v>
      </c>
      <c r="L22" s="31" t="s">
        <v>119</v>
      </c>
      <c r="M22" s="31" t="s">
        <v>170</v>
      </c>
      <c r="N22" s="31">
        <v>185</v>
      </c>
      <c r="O22" s="31">
        <v>69.7</v>
      </c>
      <c r="P22" s="59">
        <v>20</v>
      </c>
      <c r="Q22" s="31" t="s">
        <v>34</v>
      </c>
      <c r="R22" s="31" t="s">
        <v>34</v>
      </c>
      <c r="S22" s="31" t="s">
        <v>171</v>
      </c>
      <c r="T22" s="31" t="s">
        <v>172</v>
      </c>
      <c r="U22" s="31" t="s">
        <v>28</v>
      </c>
      <c r="V22" s="31" t="s">
        <v>173</v>
      </c>
      <c r="W22" s="31" t="s">
        <v>28</v>
      </c>
      <c r="X22" s="31" t="s">
        <v>174</v>
      </c>
      <c r="Y22" s="31" t="s">
        <v>34</v>
      </c>
      <c r="Z22" s="31" t="s">
        <v>64</v>
      </c>
      <c r="AA22" s="31">
        <v>1</v>
      </c>
      <c r="AB22" s="31" t="s">
        <v>39</v>
      </c>
      <c r="AC22" s="31" t="s">
        <v>175</v>
      </c>
      <c r="AD22" s="140" t="s">
        <v>176</v>
      </c>
      <c r="AE22" s="3">
        <v>1</v>
      </c>
    </row>
    <row r="23" spans="1:32" s="3" customFormat="1" ht="120" customHeight="1" x14ac:dyDescent="0.25">
      <c r="A23" s="3" t="s">
        <v>177</v>
      </c>
      <c r="B23" s="3" t="s">
        <v>178</v>
      </c>
      <c r="C23" s="3">
        <v>2019</v>
      </c>
      <c r="D23" s="3" t="s">
        <v>179</v>
      </c>
      <c r="E23" s="31" t="s">
        <v>777</v>
      </c>
      <c r="F23" s="31" t="s">
        <v>92</v>
      </c>
      <c r="G23" s="31">
        <v>2</v>
      </c>
      <c r="H23" s="31" t="str" cm="1">
        <f t="array" ref="H23">_xlfn.TEXTJOIN(", ", TRUE, IF(OR(ISNUMBER(SEARCH({"blood pressure","heart rate","anthropometrics","ecg","vo2max","spirometry","respiratory rate"},I23))),"Physiological", ""), IF(OR(ISNUMBER(SEARCH({"genetic"},I23))),"Risk", ""), IF(OR(ISNUMBER(SEARCH({"ultrasound","uv photog","facial","oral","CT scan"},I23))),"Imaging", ""), IF(OR(ISNUMBER(SEARCH({"glucose","hb1ac","lipids","nutrient"},I23))),"Blood", ""),IF(OR(ISNUMBER(SEARCH({"anthropometrics"},I23))),"Anthropometry", ""))</f>
        <v>Physiological, Risk, Blood, Anthropometry</v>
      </c>
      <c r="I23" s="31" t="s">
        <v>180</v>
      </c>
      <c r="J23" s="31" t="s">
        <v>181</v>
      </c>
      <c r="K23" s="31">
        <v>5</v>
      </c>
      <c r="L23" s="31" t="s">
        <v>182</v>
      </c>
      <c r="M23" s="31" t="s">
        <v>183</v>
      </c>
      <c r="N23" s="31">
        <v>59</v>
      </c>
      <c r="O23" s="59">
        <v>63</v>
      </c>
      <c r="P23" s="59">
        <v>67.7</v>
      </c>
      <c r="Q23" s="59" t="s">
        <v>34</v>
      </c>
      <c r="R23" s="59" t="s">
        <v>34</v>
      </c>
      <c r="S23" s="31" t="s">
        <v>48</v>
      </c>
      <c r="T23" s="31" t="s">
        <v>184</v>
      </c>
      <c r="U23" s="31" t="s">
        <v>34</v>
      </c>
      <c r="V23" s="31" t="s">
        <v>185</v>
      </c>
      <c r="W23" s="31" t="s">
        <v>34</v>
      </c>
      <c r="X23" s="31" t="s">
        <v>186</v>
      </c>
      <c r="Y23" s="31" t="s">
        <v>34</v>
      </c>
      <c r="Z23" s="31" t="s">
        <v>64</v>
      </c>
      <c r="AA23" s="31">
        <v>1</v>
      </c>
      <c r="AB23" s="31" t="s">
        <v>39</v>
      </c>
      <c r="AC23" s="31" t="s">
        <v>760</v>
      </c>
      <c r="AD23" s="57" t="s">
        <v>66</v>
      </c>
      <c r="AE23" s="3">
        <v>3</v>
      </c>
    </row>
    <row r="24" spans="1:32" s="3" customFormat="1" ht="360" customHeight="1" x14ac:dyDescent="0.25">
      <c r="A24" s="3" t="s">
        <v>187</v>
      </c>
      <c r="B24" s="3" t="s">
        <v>188</v>
      </c>
      <c r="C24" s="3">
        <v>2019</v>
      </c>
      <c r="D24" s="3" t="s">
        <v>189</v>
      </c>
      <c r="E24" s="31" t="s">
        <v>777</v>
      </c>
      <c r="F24" s="31" t="s">
        <v>190</v>
      </c>
      <c r="G24" s="31">
        <v>1</v>
      </c>
      <c r="H24" s="31" t="str" cm="1">
        <f t="array" ref="H24">_xlfn.TEXTJOIN(", ", TRUE, IF(OR(ISNUMBER(SEARCH({"blood pressure","heart rate","anthropometrics","ecg","vo2max","spirometry","respiratory rate"},I24))),"Physiological", ""), IF(OR(ISNUMBER(SEARCH({"genetic"},I24))),"Risk", ""), IF(OR(ISNUMBER(SEARCH({"ultrasound","uv photog","facial","oral","CT scan"},I24))),"Imaging", ""), IF(OR(ISNUMBER(SEARCH({"glucose","hb1ac","lipids","nutrient"},I24))),"Blood", ""),IF(OR(ISNUMBER(SEARCH({"anthropometrics"},I24))),"Anthropometry", ""))</f>
        <v>Physiological, Anthropometry</v>
      </c>
      <c r="I24" s="8" t="s">
        <v>117</v>
      </c>
      <c r="J24" s="31" t="s">
        <v>118</v>
      </c>
      <c r="K24" s="8">
        <v>1</v>
      </c>
      <c r="L24" s="31" t="s">
        <v>191</v>
      </c>
      <c r="M24" s="31" t="s">
        <v>192</v>
      </c>
      <c r="N24" s="31">
        <v>44</v>
      </c>
      <c r="O24" s="31">
        <v>100</v>
      </c>
      <c r="P24" s="59">
        <v>36.299999999999997</v>
      </c>
      <c r="Q24" s="31" t="s">
        <v>34</v>
      </c>
      <c r="R24" s="31" t="s">
        <v>28</v>
      </c>
      <c r="S24" s="31" t="s">
        <v>147</v>
      </c>
      <c r="T24" s="31" t="s">
        <v>193</v>
      </c>
      <c r="U24" s="31" t="s">
        <v>34</v>
      </c>
      <c r="V24" s="31" t="s">
        <v>194</v>
      </c>
      <c r="W24" s="31" t="s">
        <v>28</v>
      </c>
      <c r="X24" s="12" t="s">
        <v>195</v>
      </c>
      <c r="Y24" s="31" t="s">
        <v>34</v>
      </c>
      <c r="Z24" s="31" t="s">
        <v>124</v>
      </c>
      <c r="AA24" s="31">
        <v>1</v>
      </c>
      <c r="AB24" s="31" t="s">
        <v>125</v>
      </c>
      <c r="AC24" s="31" t="s">
        <v>65</v>
      </c>
      <c r="AD24" s="142" t="s">
        <v>196</v>
      </c>
      <c r="AE24" s="3">
        <v>1</v>
      </c>
      <c r="AF24" s="3" t="s">
        <v>113</v>
      </c>
    </row>
    <row r="25" spans="1:32" s="3" customFormat="1" ht="358.5" customHeight="1" x14ac:dyDescent="0.25">
      <c r="A25" s="3" t="s">
        <v>197</v>
      </c>
      <c r="B25" s="3" t="s">
        <v>198</v>
      </c>
      <c r="C25" s="3">
        <v>2013</v>
      </c>
      <c r="D25" s="3" t="s">
        <v>199</v>
      </c>
      <c r="E25" s="31" t="s">
        <v>777</v>
      </c>
      <c r="F25" s="31" t="s">
        <v>190</v>
      </c>
      <c r="G25" s="31">
        <v>1</v>
      </c>
      <c r="H25" s="31" t="str" cm="1">
        <f t="array" ref="H25">_xlfn.TEXTJOIN(", ", TRUE, IF(OR(ISNUMBER(SEARCH({"blood pressure","heart rate","anthropometrics","ecg","vo2max","spirometry","respiratory rate"},I25))),"Physiological", ""), IF(OR(ISNUMBER(SEARCH({"genetic"},I25))),"Risk", ""), IF(OR(ISNUMBER(SEARCH({"ultrasound","uv photog","facial","oral","CT scan"},I25))),"Imaging", ""), IF(OR(ISNUMBER(SEARCH({"glucose","hb1ac","lipids","nutrient"},I25))),"Blood", ""),IF(OR(ISNUMBER(SEARCH({"anthropometrics"},I25))),"Anthropometry", ""))</f>
        <v>Physiological, Anthropometry</v>
      </c>
      <c r="I25" s="8" t="s">
        <v>117</v>
      </c>
      <c r="J25" s="31" t="s">
        <v>200</v>
      </c>
      <c r="K25" s="8">
        <v>1</v>
      </c>
      <c r="L25" s="31" t="s">
        <v>201</v>
      </c>
      <c r="M25" s="31" t="s">
        <v>202</v>
      </c>
      <c r="N25" s="31">
        <v>901</v>
      </c>
      <c r="O25" s="31">
        <v>61.5</v>
      </c>
      <c r="P25" s="59">
        <v>27.2</v>
      </c>
      <c r="Q25" s="31" t="s">
        <v>34</v>
      </c>
      <c r="R25" s="31" t="s">
        <v>34</v>
      </c>
      <c r="S25" s="31" t="s">
        <v>160</v>
      </c>
      <c r="T25" s="31" t="s">
        <v>203</v>
      </c>
      <c r="U25" s="31" t="s">
        <v>34</v>
      </c>
      <c r="V25" s="31" t="s">
        <v>204</v>
      </c>
      <c r="W25" s="31" t="s">
        <v>34</v>
      </c>
      <c r="X25" s="31" t="s">
        <v>205</v>
      </c>
      <c r="Y25" s="31" t="s">
        <v>34</v>
      </c>
      <c r="Z25" s="31" t="s">
        <v>64</v>
      </c>
      <c r="AA25" s="31">
        <v>1</v>
      </c>
      <c r="AB25" s="31" t="s">
        <v>39</v>
      </c>
      <c r="AC25" s="31" t="s">
        <v>761</v>
      </c>
      <c r="AD25" s="140" t="s">
        <v>176</v>
      </c>
      <c r="AE25" s="3">
        <v>1</v>
      </c>
    </row>
    <row r="26" spans="1:32" s="3" customFormat="1" ht="285" customHeight="1" x14ac:dyDescent="0.25">
      <c r="A26" s="3" t="s">
        <v>206</v>
      </c>
      <c r="B26" s="3" t="s">
        <v>207</v>
      </c>
      <c r="C26" s="3">
        <v>2011</v>
      </c>
      <c r="D26" s="3" t="s">
        <v>208</v>
      </c>
      <c r="E26" s="31" t="s">
        <v>777</v>
      </c>
      <c r="F26" s="31" t="s">
        <v>190</v>
      </c>
      <c r="G26" s="31">
        <v>1</v>
      </c>
      <c r="H26" s="31" t="str" cm="1">
        <f t="array" ref="H26">_xlfn.TEXTJOIN(", ", TRUE, IF(OR(ISNUMBER(SEARCH({"blood pressure","heart rate","anthropometrics","ecg","vo2max","spirometry","respiratory rate"},I26))),"Physiological", ""), IF(OR(ISNUMBER(SEARCH({"genetic"},I26))),"Risk", ""), IF(OR(ISNUMBER(SEARCH({"ultrasound","uv photog","facial","oral","CT scan"},I26))),"Imaging", ""), IF(OR(ISNUMBER(SEARCH({"glucose","hb1ac","lipids","nutrient"},I26))),"Blood", ""),IF(OR(ISNUMBER(SEARCH({"anthropometrics"},I26))),"Anthropometry", ""))</f>
        <v>Physiological, Anthropometry</v>
      </c>
      <c r="I26" s="12" t="s">
        <v>209</v>
      </c>
      <c r="J26" s="31" t="s">
        <v>210</v>
      </c>
      <c r="K26" s="31">
        <v>3</v>
      </c>
      <c r="L26" s="31" t="s">
        <v>46</v>
      </c>
      <c r="M26" s="31" t="s">
        <v>211</v>
      </c>
      <c r="N26" s="31">
        <v>105</v>
      </c>
      <c r="O26" s="31">
        <v>19</v>
      </c>
      <c r="P26" s="59">
        <v>40.5</v>
      </c>
      <c r="Q26" s="31" t="s">
        <v>34</v>
      </c>
      <c r="R26" s="31" t="s">
        <v>34</v>
      </c>
      <c r="S26" s="31" t="s">
        <v>212</v>
      </c>
      <c r="T26" s="31" t="s">
        <v>213</v>
      </c>
      <c r="U26" s="31" t="s">
        <v>34</v>
      </c>
      <c r="V26" s="31" t="s">
        <v>214</v>
      </c>
      <c r="W26" s="31" t="s">
        <v>28</v>
      </c>
      <c r="X26" s="12" t="s">
        <v>215</v>
      </c>
      <c r="Y26" s="31" t="s">
        <v>34</v>
      </c>
      <c r="Z26" s="31" t="s">
        <v>124</v>
      </c>
      <c r="AA26" s="31">
        <v>1</v>
      </c>
      <c r="AB26" s="31" t="s">
        <v>125</v>
      </c>
      <c r="AC26" s="31" t="s">
        <v>52</v>
      </c>
      <c r="AD26" s="140" t="s">
        <v>216</v>
      </c>
      <c r="AE26" s="3">
        <v>4</v>
      </c>
      <c r="AF26" s="3" t="s">
        <v>67</v>
      </c>
    </row>
    <row r="27" spans="1:32" s="3" customFormat="1" ht="231.75" customHeight="1" x14ac:dyDescent="0.25">
      <c r="A27" s="3" t="s">
        <v>217</v>
      </c>
      <c r="B27" s="3" t="s">
        <v>218</v>
      </c>
      <c r="C27" s="3">
        <v>2013</v>
      </c>
      <c r="D27" s="3" t="s">
        <v>219</v>
      </c>
      <c r="E27" s="31" t="s">
        <v>777</v>
      </c>
      <c r="F27" s="31" t="s">
        <v>220</v>
      </c>
      <c r="G27" s="31">
        <v>4</v>
      </c>
      <c r="H27" s="31" t="str" cm="1">
        <f t="array" ref="H27">_xlfn.TEXTJOIN(", ", TRUE, IF(OR(ISNUMBER(SEARCH({"blood pressure","heart rate","anthropometrics","ecg","vo2max","spirometry","respiratory rate"},I27))),"Physiological", ""), IF(OR(ISNUMBER(SEARCH({"genetic"},I27))),"Risk", ""), IF(OR(ISNUMBER(SEARCH({"ultrasound","uv photog","facial","oral","CT scan"},I27))),"Imaging", ""), IF(OR(ISNUMBER(SEARCH({"glucose","hb1ac","lipids","nutrient"},I27))),"Blood", ""),IF(OR(ISNUMBER(SEARCH({"anthropometrics"},I27))),"Anthropometry", ""))</f>
        <v>Physiological, Anthropometry</v>
      </c>
      <c r="I27" s="31" t="s">
        <v>221</v>
      </c>
      <c r="J27" s="31" t="s">
        <v>210</v>
      </c>
      <c r="K27" s="31">
        <v>2</v>
      </c>
      <c r="L27" s="31" t="s">
        <v>222</v>
      </c>
      <c r="M27" s="31" t="s">
        <v>223</v>
      </c>
      <c r="N27" s="31">
        <v>51</v>
      </c>
      <c r="O27" s="31">
        <v>84</v>
      </c>
      <c r="P27" s="59">
        <v>49.7</v>
      </c>
      <c r="Q27" s="31" t="s">
        <v>28</v>
      </c>
      <c r="R27" s="31" t="s">
        <v>28</v>
      </c>
      <c r="S27" s="31" t="s">
        <v>224</v>
      </c>
      <c r="T27" s="31" t="s">
        <v>225</v>
      </c>
      <c r="U27" s="31" t="s">
        <v>28</v>
      </c>
      <c r="V27" s="31" t="s">
        <v>226</v>
      </c>
      <c r="W27" s="31" t="s">
        <v>28</v>
      </c>
      <c r="X27" s="31" t="s">
        <v>227</v>
      </c>
      <c r="Y27" s="31" t="s">
        <v>34</v>
      </c>
      <c r="Z27" s="31" t="s">
        <v>124</v>
      </c>
      <c r="AA27" s="31">
        <v>1</v>
      </c>
      <c r="AB27" s="31" t="s">
        <v>125</v>
      </c>
      <c r="AC27" s="31" t="s">
        <v>65</v>
      </c>
      <c r="AD27" s="140" t="s">
        <v>228</v>
      </c>
      <c r="AE27" s="3">
        <v>2</v>
      </c>
      <c r="AF27" s="3" t="s">
        <v>152</v>
      </c>
    </row>
    <row r="28" spans="1:32" s="3" customFormat="1" ht="117" customHeight="1" x14ac:dyDescent="0.25">
      <c r="A28" s="3" t="s">
        <v>229</v>
      </c>
      <c r="B28" s="3" t="s">
        <v>230</v>
      </c>
      <c r="C28" s="3">
        <v>2003</v>
      </c>
      <c r="D28" s="3" t="s">
        <v>231</v>
      </c>
      <c r="E28" s="31" t="s">
        <v>777</v>
      </c>
      <c r="F28" s="31" t="s">
        <v>92</v>
      </c>
      <c r="G28" s="31">
        <v>2</v>
      </c>
      <c r="H28" s="31" t="str" cm="1">
        <f t="array" ref="H28">_xlfn.TEXTJOIN(", ", TRUE, IF(OR(ISNUMBER(SEARCH({"blood pressure","heart rate","anthropometrics","ecg","vo2max","spirometry","respiratory rate"},I28))),"Physiological", ""), IF(OR(ISNUMBER(SEARCH({"genetic"},I28))),"Risk", ""), IF(OR(ISNUMBER(SEARCH({"ultrasound","uv photog","facial","oral","CT scan"},I28))),"Imaging", ""), IF(OR(ISNUMBER(SEARCH({"glucose","hb1ac","lipids","nutrient"},I28))),"Blood", ""),IF(OR(ISNUMBER(SEARCH({"anthropometrics"},I28))),"Anthropometry", ""))</f>
        <v>Physiological, Blood, Anthropometry</v>
      </c>
      <c r="I28" s="31" t="s">
        <v>232</v>
      </c>
      <c r="J28" s="31" t="s">
        <v>233</v>
      </c>
      <c r="K28" s="31">
        <v>4</v>
      </c>
      <c r="L28" s="31" t="s">
        <v>32</v>
      </c>
      <c r="M28" s="31" t="s">
        <v>234</v>
      </c>
      <c r="N28" s="31">
        <v>299</v>
      </c>
      <c r="O28" s="31">
        <v>34.1</v>
      </c>
      <c r="P28" s="59">
        <v>44.1</v>
      </c>
      <c r="Q28" s="31" t="s">
        <v>34</v>
      </c>
      <c r="R28" s="31" t="s">
        <v>34</v>
      </c>
      <c r="S28" s="31" t="s">
        <v>235</v>
      </c>
      <c r="T28" s="31" t="s">
        <v>236</v>
      </c>
      <c r="U28" s="31" t="s">
        <v>34</v>
      </c>
      <c r="V28" s="31" t="s">
        <v>237</v>
      </c>
      <c r="W28" s="31" t="s">
        <v>34</v>
      </c>
      <c r="X28" s="31" t="s">
        <v>238</v>
      </c>
      <c r="Y28" s="31" t="s">
        <v>34</v>
      </c>
      <c r="Z28" s="31" t="s">
        <v>38</v>
      </c>
      <c r="AA28" s="31">
        <v>1</v>
      </c>
      <c r="AB28" s="31" t="s">
        <v>39</v>
      </c>
      <c r="AC28" s="31" t="s">
        <v>52</v>
      </c>
      <c r="AD28" s="57" t="s">
        <v>239</v>
      </c>
      <c r="AE28" s="3">
        <v>2</v>
      </c>
    </row>
    <row r="29" spans="1:32" s="3" customFormat="1" ht="195" customHeight="1" x14ac:dyDescent="0.25">
      <c r="A29" s="3" t="s">
        <v>240</v>
      </c>
      <c r="B29" s="3" t="s">
        <v>241</v>
      </c>
      <c r="C29" s="3">
        <v>2017</v>
      </c>
      <c r="D29" s="3" t="s">
        <v>242</v>
      </c>
      <c r="E29" s="60" t="s">
        <v>777</v>
      </c>
      <c r="F29" s="31" t="s">
        <v>190</v>
      </c>
      <c r="G29" s="31">
        <v>1</v>
      </c>
      <c r="H29" s="31" t="str" cm="1">
        <f t="array" ref="H29">_xlfn.TEXTJOIN(", ", TRUE, IF(OR(ISNUMBER(SEARCH({"blood pressure","heart rate","anthropometrics","ecg","vo2max","spirometry","respiratory rate"},I29))),"Physiological", ""), IF(OR(ISNUMBER(SEARCH({"genetic"},I29))),"Risk", ""), IF(OR(ISNUMBER(SEARCH({"ultrasound","uv photog","facial","oral","CT scan"},I29))),"Imaging", ""), IF(OR(ISNUMBER(SEARCH({"glucose","hb1ac","lipids","nutrient"},I29))),"Blood", ""),IF(OR(ISNUMBER(SEARCH({"anthropometrics"},I29))),"Anthropometry", ""))</f>
        <v>Physiological, Anthropometry</v>
      </c>
      <c r="I29" s="31" t="s">
        <v>243</v>
      </c>
      <c r="J29" s="31" t="s">
        <v>244</v>
      </c>
      <c r="K29" s="31">
        <v>3</v>
      </c>
      <c r="L29" s="31" t="s">
        <v>46</v>
      </c>
      <c r="M29" s="31" t="s">
        <v>245</v>
      </c>
      <c r="N29" s="31">
        <v>121</v>
      </c>
      <c r="O29" s="59">
        <v>79</v>
      </c>
      <c r="P29" s="59">
        <v>42</v>
      </c>
      <c r="Q29" s="59" t="s">
        <v>34</v>
      </c>
      <c r="R29" s="59" t="s">
        <v>34</v>
      </c>
      <c r="S29" s="31" t="s">
        <v>35</v>
      </c>
      <c r="T29" s="31" t="s">
        <v>246</v>
      </c>
      <c r="U29" s="31" t="s">
        <v>28</v>
      </c>
      <c r="V29" s="60" t="s">
        <v>247</v>
      </c>
      <c r="W29" s="60" t="s">
        <v>28</v>
      </c>
      <c r="X29" s="12" t="s">
        <v>248</v>
      </c>
      <c r="Y29" s="60" t="s">
        <v>34</v>
      </c>
      <c r="Z29" s="31" t="s">
        <v>249</v>
      </c>
      <c r="AA29" s="31">
        <v>1</v>
      </c>
      <c r="AB29" s="31" t="s">
        <v>125</v>
      </c>
      <c r="AC29" s="31" t="s">
        <v>65</v>
      </c>
      <c r="AD29" s="57" t="s">
        <v>250</v>
      </c>
      <c r="AE29" s="3">
        <v>1</v>
      </c>
    </row>
    <row r="30" spans="1:32" s="3" customFormat="1" ht="240" customHeight="1" x14ac:dyDescent="0.25">
      <c r="A30" s="3" t="s">
        <v>251</v>
      </c>
      <c r="B30" s="4" t="s">
        <v>252</v>
      </c>
      <c r="C30" s="3">
        <v>2020</v>
      </c>
      <c r="D30" s="3" t="s">
        <v>253</v>
      </c>
      <c r="E30" s="31" t="s">
        <v>777</v>
      </c>
      <c r="F30" s="31" t="s">
        <v>190</v>
      </c>
      <c r="G30" s="31">
        <v>1</v>
      </c>
      <c r="H30" s="31" t="str" cm="1">
        <f t="array" ref="H30">_xlfn.TEXTJOIN(", ", TRUE, IF(OR(ISNUMBER(SEARCH({"blood pressure","heart rate","anthropometrics","ecg","vo2max","spirometry","respiratory rate"},I30))),"Physiological", ""), IF(OR(ISNUMBER(SEARCH({"genetic"},I30))),"Risk", ""), IF(OR(ISNUMBER(SEARCH({"ultrasound","uv photog","facial","oral","CT scan"},I30))),"Imaging", ""), IF(OR(ISNUMBER(SEARCH({"glucose","hb1ac","lipids","nutrient"},I30))),"Blood", ""),IF(OR(ISNUMBER(SEARCH({"anthropometrics"},I30))),"Anthropometry", ""))</f>
        <v>Physiological, Anthropometry</v>
      </c>
      <c r="I30" s="31" t="s">
        <v>254</v>
      </c>
      <c r="J30" s="31" t="s">
        <v>255</v>
      </c>
      <c r="K30" s="31">
        <v>2</v>
      </c>
      <c r="L30" s="31" t="s">
        <v>256</v>
      </c>
      <c r="M30" s="31" t="s">
        <v>257</v>
      </c>
      <c r="N30" s="31">
        <v>350</v>
      </c>
      <c r="O30" s="31">
        <v>25.2</v>
      </c>
      <c r="P30" s="59">
        <v>39.799999999999997</v>
      </c>
      <c r="Q30" s="31" t="s">
        <v>28</v>
      </c>
      <c r="R30" s="31" t="s">
        <v>28</v>
      </c>
      <c r="S30" s="31" t="s">
        <v>35</v>
      </c>
      <c r="T30" s="31" t="s">
        <v>258</v>
      </c>
      <c r="U30" s="31" t="s">
        <v>28</v>
      </c>
      <c r="V30" s="31" t="s">
        <v>259</v>
      </c>
      <c r="W30" s="31" t="s">
        <v>28</v>
      </c>
      <c r="X30" s="31" t="s">
        <v>260</v>
      </c>
      <c r="Y30" s="31" t="s">
        <v>34</v>
      </c>
      <c r="Z30" s="31" t="s">
        <v>261</v>
      </c>
      <c r="AA30" s="31">
        <v>2</v>
      </c>
      <c r="AB30" s="31" t="s">
        <v>125</v>
      </c>
      <c r="AC30" s="31" t="s">
        <v>262</v>
      </c>
      <c r="AD30" s="140" t="s">
        <v>263</v>
      </c>
      <c r="AE30" s="3">
        <v>3</v>
      </c>
      <c r="AF30" s="3" t="s">
        <v>264</v>
      </c>
    </row>
    <row r="31" spans="1:32" s="3" customFormat="1" ht="214.5" customHeight="1" x14ac:dyDescent="0.25">
      <c r="A31" s="3" t="s">
        <v>265</v>
      </c>
      <c r="B31" s="3" t="s">
        <v>266</v>
      </c>
      <c r="C31" s="3">
        <v>2014</v>
      </c>
      <c r="D31" s="3" t="s">
        <v>267</v>
      </c>
      <c r="E31" s="31" t="s">
        <v>777</v>
      </c>
      <c r="F31" s="31" t="s">
        <v>190</v>
      </c>
      <c r="G31" s="31">
        <v>1</v>
      </c>
      <c r="H31" s="31" t="str" cm="1">
        <f t="array" ref="H31">_xlfn.TEXTJOIN(", ", TRUE, IF(OR(ISNUMBER(SEARCH({"blood pressure","heart rate","anthropometrics","ecg","vo2max","spirometry","respiratory rate"},I31))),"Physiological", ""), IF(OR(ISNUMBER(SEARCH({"genetic"},I31))),"Risk", ""), IF(OR(ISNUMBER(SEARCH({"ultrasound","uv photog","facial","oral","CT scan"},I31))),"Imaging", ""), IF(OR(ISNUMBER(SEARCH({"glucose","hb1ac","lipids","nutrient"},I31))),"Blood", ""),IF(OR(ISNUMBER(SEARCH({"anthropometrics"},I31))),"Anthropometry", ""))</f>
        <v>Physiological, Blood, Anthropometry</v>
      </c>
      <c r="I31" s="31" t="s">
        <v>268</v>
      </c>
      <c r="J31" s="31" t="s">
        <v>269</v>
      </c>
      <c r="K31" s="31">
        <v>3</v>
      </c>
      <c r="L31" s="31" t="s">
        <v>119</v>
      </c>
      <c r="M31" s="31" t="s">
        <v>270</v>
      </c>
      <c r="N31" s="31">
        <v>45</v>
      </c>
      <c r="O31" s="31">
        <v>55.6</v>
      </c>
      <c r="P31" s="59">
        <v>63</v>
      </c>
      <c r="Q31" s="31" t="s">
        <v>34</v>
      </c>
      <c r="R31" s="31" t="s">
        <v>34</v>
      </c>
      <c r="S31" s="31" t="s">
        <v>212</v>
      </c>
      <c r="T31" s="31" t="s">
        <v>271</v>
      </c>
      <c r="U31" s="31" t="s">
        <v>34</v>
      </c>
      <c r="V31" s="31" t="s">
        <v>272</v>
      </c>
      <c r="W31" s="31" t="s">
        <v>28</v>
      </c>
      <c r="X31" s="31" t="s">
        <v>273</v>
      </c>
      <c r="Y31" s="31" t="s">
        <v>34</v>
      </c>
      <c r="Z31" s="31" t="s">
        <v>124</v>
      </c>
      <c r="AA31" s="31">
        <v>1</v>
      </c>
      <c r="AB31" s="31" t="s">
        <v>125</v>
      </c>
      <c r="AC31" s="31" t="s">
        <v>65</v>
      </c>
      <c r="AD31" s="57" t="s">
        <v>274</v>
      </c>
      <c r="AE31" s="3">
        <v>3</v>
      </c>
      <c r="AF31" s="3" t="s">
        <v>264</v>
      </c>
    </row>
    <row r="32" spans="1:32" s="3" customFormat="1" ht="409.5" customHeight="1" x14ac:dyDescent="0.25">
      <c r="A32" s="3" t="s">
        <v>275</v>
      </c>
      <c r="B32" s="3" t="s">
        <v>276</v>
      </c>
      <c r="C32" s="3">
        <v>2014</v>
      </c>
      <c r="D32" s="3" t="s">
        <v>277</v>
      </c>
      <c r="E32" s="61" t="s">
        <v>278</v>
      </c>
      <c r="F32" s="31" t="s">
        <v>29</v>
      </c>
      <c r="G32" s="31">
        <v>3</v>
      </c>
      <c r="H32" s="31" t="str" cm="1">
        <f t="array" ref="H32">_xlfn.TEXTJOIN(", ", TRUE, IF(OR(ISNUMBER(SEARCH({"blood pressure","heart rate","anthropometrics","ecg","vo2max","spirometry","respiratory rate"},I32))),"Physiological", ""), IF(OR(ISNUMBER(SEARCH({"genetic"},I32))),"Risk", ""), IF(OR(ISNUMBER(SEARCH({"ultrasound","uv photog","facial","oral","CT scan"},I32))),"Imaging", ""), IF(OR(ISNUMBER(SEARCH({"glucose","hb1ac","lipids","nutrient"},I32))),"Blood", ""),IF(OR(ISNUMBER(SEARCH({"anthropometrics"},I32))),"Anthropometry", ""))</f>
        <v>Risk</v>
      </c>
      <c r="I32" s="31" t="s">
        <v>45</v>
      </c>
      <c r="J32" s="31" t="s">
        <v>279</v>
      </c>
      <c r="K32" s="31">
        <v>1</v>
      </c>
      <c r="L32" s="31" t="s">
        <v>280</v>
      </c>
      <c r="M32" s="31" t="s">
        <v>281</v>
      </c>
      <c r="N32" s="31">
        <v>107</v>
      </c>
      <c r="O32" s="31">
        <v>69.2</v>
      </c>
      <c r="P32" s="59">
        <v>47</v>
      </c>
      <c r="Q32" s="31" t="s">
        <v>34</v>
      </c>
      <c r="R32" s="31" t="s">
        <v>34</v>
      </c>
      <c r="S32" s="31" t="s">
        <v>35</v>
      </c>
      <c r="T32" s="31" t="s">
        <v>282</v>
      </c>
      <c r="U32" s="31" t="s">
        <v>28</v>
      </c>
      <c r="V32" s="31" t="s">
        <v>283</v>
      </c>
      <c r="W32" s="31" t="s">
        <v>28</v>
      </c>
      <c r="X32" s="12" t="s">
        <v>284</v>
      </c>
      <c r="Y32" s="31" t="s">
        <v>34</v>
      </c>
      <c r="Z32" s="31" t="s">
        <v>38</v>
      </c>
      <c r="AA32" s="31">
        <v>1</v>
      </c>
      <c r="AB32" s="31" t="s">
        <v>125</v>
      </c>
      <c r="AC32" s="31" t="s">
        <v>285</v>
      </c>
      <c r="AD32" s="140" t="s">
        <v>286</v>
      </c>
      <c r="AE32" s="3">
        <v>1</v>
      </c>
    </row>
    <row r="33" spans="1:34" s="3" customFormat="1" ht="269.25" customHeight="1" x14ac:dyDescent="0.25">
      <c r="A33" s="3" t="s">
        <v>287</v>
      </c>
      <c r="B33" s="3" t="s">
        <v>288</v>
      </c>
      <c r="C33" s="3">
        <v>2017</v>
      </c>
      <c r="D33" s="3" t="s">
        <v>289</v>
      </c>
      <c r="E33" s="31" t="s">
        <v>278</v>
      </c>
      <c r="F33" s="31" t="s">
        <v>44</v>
      </c>
      <c r="G33" s="31">
        <v>1</v>
      </c>
      <c r="H33" s="31" t="str" cm="1">
        <f t="array" ref="H33">_xlfn.TEXTJOIN(", ", TRUE, IF(OR(ISNUMBER(SEARCH({"blood pressure","heart rate","anthropometrics","ecg","vo2max","spirometry","respiratory rate"},I33))),"Physiological", ""), IF(OR(ISNUMBER(SEARCH({"genetic"},I33))),"Risk", ""), IF(OR(ISNUMBER(SEARCH({"ultrasound","uv photog","facial","oral","CT scan"},I33))),"Imaging", ""), IF(OR(ISNUMBER(SEARCH({"glucose","hb1ac","lipids","nutrient"},I33))),"Blood", ""),IF(OR(ISNUMBER(SEARCH({"anthropometrics"},I33))),"Anthropometry", ""))</f>
        <v>Risk</v>
      </c>
      <c r="I33" s="31" t="s">
        <v>45</v>
      </c>
      <c r="J33" s="31" t="s">
        <v>290</v>
      </c>
      <c r="K33" s="31">
        <v>1</v>
      </c>
      <c r="L33" s="31" t="s">
        <v>32</v>
      </c>
      <c r="M33" s="31" t="s">
        <v>291</v>
      </c>
      <c r="N33" s="31">
        <v>57</v>
      </c>
      <c r="O33" s="31">
        <v>100</v>
      </c>
      <c r="P33" s="59">
        <v>22</v>
      </c>
      <c r="Q33" s="31" t="s">
        <v>34</v>
      </c>
      <c r="R33" s="31" t="s">
        <v>34</v>
      </c>
      <c r="S33" s="31" t="s">
        <v>212</v>
      </c>
      <c r="T33" s="31" t="s">
        <v>292</v>
      </c>
      <c r="U33" s="31" t="s">
        <v>34</v>
      </c>
      <c r="V33" s="31" t="s">
        <v>293</v>
      </c>
      <c r="W33" s="31" t="s">
        <v>28</v>
      </c>
      <c r="X33" s="31" t="s">
        <v>294</v>
      </c>
      <c r="Y33" s="31" t="s">
        <v>34</v>
      </c>
      <c r="Z33" s="31" t="s">
        <v>64</v>
      </c>
      <c r="AA33" s="31">
        <v>1</v>
      </c>
      <c r="AB33" s="31" t="s">
        <v>39</v>
      </c>
      <c r="AC33" s="31" t="s">
        <v>65</v>
      </c>
      <c r="AD33" s="140" t="s">
        <v>295</v>
      </c>
      <c r="AE33" s="3">
        <v>2</v>
      </c>
    </row>
    <row r="34" spans="1:34" s="3" customFormat="1" ht="180.75" customHeight="1" x14ac:dyDescent="0.25">
      <c r="A34" s="6" t="s">
        <v>296</v>
      </c>
      <c r="B34" s="3" t="s">
        <v>297</v>
      </c>
      <c r="C34" s="3">
        <v>2021</v>
      </c>
      <c r="D34" s="3" t="s">
        <v>298</v>
      </c>
      <c r="E34" s="60" t="s">
        <v>278</v>
      </c>
      <c r="F34" s="31" t="s">
        <v>92</v>
      </c>
      <c r="G34" s="31">
        <v>2</v>
      </c>
      <c r="H34" s="31" t="str" cm="1">
        <f t="array" ref="H34">_xlfn.TEXTJOIN(", ", TRUE, IF(OR(ISNUMBER(SEARCH({"blood pressure","heart rate","anthropometrics","ecg","vo2max","spirometry","respiratory rate"},I34))),"Physiological", ""), IF(OR(ISNUMBER(SEARCH({"genetic"},I34))),"Risk", ""), IF(OR(ISNUMBER(SEARCH({"ultrasound","uv photog","facial","oral","CT scan"},I34))),"Imaging", ""), IF(OR(ISNUMBER(SEARCH({"glucose","hb1ac","lipids","nutrient"},I34))),"Blood", ""),IF(OR(ISNUMBER(SEARCH({"anthropometrics"},I34))),"Anthropometry", ""))</f>
        <v>Physiological, Risk, Anthropometry</v>
      </c>
      <c r="I34" s="12" t="s">
        <v>299</v>
      </c>
      <c r="J34" s="31" t="s">
        <v>300</v>
      </c>
      <c r="K34" s="31">
        <v>3</v>
      </c>
      <c r="L34" s="31" t="s">
        <v>301</v>
      </c>
      <c r="M34" s="31" t="s">
        <v>302</v>
      </c>
      <c r="N34" s="31">
        <v>188</v>
      </c>
      <c r="O34" s="31">
        <v>82.4</v>
      </c>
      <c r="P34" s="59">
        <v>51</v>
      </c>
      <c r="Q34" s="31" t="s">
        <v>34</v>
      </c>
      <c r="R34" s="31" t="s">
        <v>28</v>
      </c>
      <c r="S34" s="31" t="s">
        <v>303</v>
      </c>
      <c r="T34" s="12" t="s">
        <v>304</v>
      </c>
      <c r="U34" s="31" t="s">
        <v>34</v>
      </c>
      <c r="V34" s="60" t="s">
        <v>305</v>
      </c>
      <c r="W34" s="60" t="s">
        <v>28</v>
      </c>
      <c r="X34" s="31" t="s">
        <v>306</v>
      </c>
      <c r="Y34" s="60" t="s">
        <v>34</v>
      </c>
      <c r="Z34" s="31" t="s">
        <v>124</v>
      </c>
      <c r="AA34" s="31">
        <v>1</v>
      </c>
      <c r="AB34" s="31" t="s">
        <v>125</v>
      </c>
      <c r="AC34" s="31" t="s">
        <v>65</v>
      </c>
      <c r="AD34" s="140" t="s">
        <v>307</v>
      </c>
      <c r="AE34" s="8">
        <v>3</v>
      </c>
      <c r="AF34" s="82" t="s">
        <v>113</v>
      </c>
    </row>
    <row r="35" spans="1:34" s="3" customFormat="1" ht="222.75" customHeight="1" x14ac:dyDescent="0.25">
      <c r="A35" s="3" t="s">
        <v>308</v>
      </c>
      <c r="B35" s="3" t="s">
        <v>309</v>
      </c>
      <c r="C35" s="3">
        <v>2016</v>
      </c>
      <c r="D35" s="3" t="s">
        <v>310</v>
      </c>
      <c r="E35" s="31" t="s">
        <v>278</v>
      </c>
      <c r="F35" s="31" t="s">
        <v>92</v>
      </c>
      <c r="G35" s="31">
        <v>2</v>
      </c>
      <c r="H35" s="31" t="str" cm="1">
        <f t="array" ref="H35">_xlfn.TEXTJOIN(", ", TRUE, IF(OR(ISNUMBER(SEARCH({"blood pressure","heart rate","anthropometrics","ecg","vo2max","spirometry","respiratory rate"},I35))),"Physiological", ""), IF(OR(ISNUMBER(SEARCH({"genetic"},I35))),"Risk", ""), IF(OR(ISNUMBER(SEARCH({"ultrasound","uv photog","facial","oral","CT scan"},I35))),"Imaging", ""), IF(OR(ISNUMBER(SEARCH({"glucose","hb1ac","lipids","nutrient"},I35))),"Blood", ""),IF(OR(ISNUMBER(SEARCH({"anthropometrics"},I35))),"Anthropometry", ""))</f>
        <v>Physiological, Blood, Anthropometry</v>
      </c>
      <c r="I35" s="31" t="s">
        <v>311</v>
      </c>
      <c r="J35" s="31" t="s">
        <v>312</v>
      </c>
      <c r="K35" s="31">
        <v>5</v>
      </c>
      <c r="L35" s="31" t="s">
        <v>301</v>
      </c>
      <c r="M35" s="31" t="s">
        <v>313</v>
      </c>
      <c r="N35" s="31">
        <v>68</v>
      </c>
      <c r="O35" s="59">
        <v>65</v>
      </c>
      <c r="P35" s="59">
        <v>66.099999999999994</v>
      </c>
      <c r="Q35" s="59" t="s">
        <v>34</v>
      </c>
      <c r="R35" s="59" t="s">
        <v>34</v>
      </c>
      <c r="S35" s="31" t="s">
        <v>224</v>
      </c>
      <c r="T35" s="31" t="s">
        <v>314</v>
      </c>
      <c r="U35" s="31" t="s">
        <v>28</v>
      </c>
      <c r="V35" s="12" t="s">
        <v>315</v>
      </c>
      <c r="W35" s="31" t="s">
        <v>28</v>
      </c>
      <c r="X35" s="12" t="s">
        <v>316</v>
      </c>
      <c r="Y35" s="12" t="s">
        <v>34</v>
      </c>
      <c r="Z35" s="31" t="s">
        <v>249</v>
      </c>
      <c r="AA35" s="31">
        <v>1</v>
      </c>
      <c r="AB35" s="31" t="s">
        <v>125</v>
      </c>
      <c r="AC35" s="31" t="s">
        <v>52</v>
      </c>
      <c r="AD35" s="140" t="s">
        <v>317</v>
      </c>
      <c r="AE35" s="8">
        <v>1</v>
      </c>
      <c r="AF35" s="95"/>
    </row>
    <row r="36" spans="1:34" s="3" customFormat="1" ht="210" customHeight="1" x14ac:dyDescent="0.25">
      <c r="A36" s="3" t="s">
        <v>318</v>
      </c>
      <c r="B36" s="3" t="s">
        <v>319</v>
      </c>
      <c r="C36" s="3">
        <v>2017</v>
      </c>
      <c r="D36" s="3" t="s">
        <v>320</v>
      </c>
      <c r="E36" s="31" t="s">
        <v>278</v>
      </c>
      <c r="F36" s="31" t="s">
        <v>321</v>
      </c>
      <c r="G36" s="31">
        <v>4</v>
      </c>
      <c r="H36" s="31" t="str" cm="1">
        <f t="array" ref="H36">_xlfn.TEXTJOIN(", ", TRUE, IF(OR(ISNUMBER(SEARCH({"blood pressure","heart rate","anthropometrics","ecg","vo2max","spirometry","respiratory rate"},I36))),"Physiological", ""), IF(OR(ISNUMBER(SEARCH({"genetic"},I36))),"Risk", ""), IF(OR(ISNUMBER(SEARCH({"ultrasound","uv photog","facial","oral","CT scan"},I36))),"Imaging", ""), IF(OR(ISNUMBER(SEARCH({"glucose","hb1ac","lipids","nutrient"},I36))),"Blood", ""),IF(OR(ISNUMBER(SEARCH({"anthropometrics"},I36))),"Anthropometry", ""))</f>
        <v>Risk</v>
      </c>
      <c r="I36" s="31" t="s">
        <v>45</v>
      </c>
      <c r="J36" s="31" t="s">
        <v>322</v>
      </c>
      <c r="K36" s="31">
        <v>1</v>
      </c>
      <c r="L36" s="31" t="s">
        <v>323</v>
      </c>
      <c r="M36" s="31" t="s">
        <v>324</v>
      </c>
      <c r="N36" s="31">
        <v>100</v>
      </c>
      <c r="O36" s="31">
        <v>58</v>
      </c>
      <c r="P36" s="59">
        <v>55</v>
      </c>
      <c r="Q36" s="31" t="s">
        <v>28</v>
      </c>
      <c r="R36" s="31" t="s">
        <v>28</v>
      </c>
      <c r="S36" s="31" t="s">
        <v>60</v>
      </c>
      <c r="T36" s="31" t="s">
        <v>325</v>
      </c>
      <c r="U36" s="31" t="s">
        <v>28</v>
      </c>
      <c r="V36" s="31" t="s">
        <v>326</v>
      </c>
      <c r="W36" s="31" t="s">
        <v>28</v>
      </c>
      <c r="X36" s="31" t="s">
        <v>327</v>
      </c>
      <c r="Y36" s="31" t="s">
        <v>34</v>
      </c>
      <c r="Z36" s="31" t="s">
        <v>64</v>
      </c>
      <c r="AA36" s="31">
        <v>1</v>
      </c>
      <c r="AB36" s="31" t="s">
        <v>39</v>
      </c>
      <c r="AC36" s="31" t="s">
        <v>65</v>
      </c>
      <c r="AD36" s="140" t="s">
        <v>328</v>
      </c>
      <c r="AE36" s="3">
        <v>2</v>
      </c>
    </row>
    <row r="37" spans="1:34" x14ac:dyDescent="0.25">
      <c r="A37" s="66"/>
      <c r="B37" s="66"/>
      <c r="C37" s="66"/>
      <c r="D37" s="66"/>
      <c r="E37" s="67"/>
      <c r="F37" s="67"/>
      <c r="G37" s="67"/>
      <c r="H37" s="67"/>
      <c r="I37" s="67"/>
      <c r="J37" s="67"/>
      <c r="K37" s="67"/>
      <c r="L37" s="67"/>
      <c r="M37" s="67"/>
      <c r="N37" s="67"/>
      <c r="O37" s="67"/>
      <c r="P37" s="68"/>
      <c r="Q37" s="67"/>
      <c r="R37" s="67"/>
      <c r="S37" s="67" t="s">
        <v>329</v>
      </c>
      <c r="T37" s="67"/>
      <c r="U37" s="67"/>
      <c r="V37" s="67"/>
      <c r="W37" s="67"/>
      <c r="X37" s="67"/>
      <c r="Y37" s="67"/>
      <c r="Z37" s="67"/>
      <c r="AA37" s="67"/>
      <c r="AB37" s="67" t="s">
        <v>329</v>
      </c>
      <c r="AC37" s="67"/>
      <c r="AD37" s="67"/>
      <c r="AE37" s="66">
        <v>2</v>
      </c>
      <c r="AF37" s="66"/>
      <c r="AG37" s="3"/>
      <c r="AH37" s="3"/>
    </row>
    <row r="38" spans="1:34" ht="15" customHeight="1" x14ac:dyDescent="0.25">
      <c r="A38" s="129" t="s">
        <v>764</v>
      </c>
      <c r="B38" s="130"/>
      <c r="C38" s="130"/>
      <c r="D38" s="131"/>
      <c r="E38" s="130"/>
      <c r="F38" s="130"/>
      <c r="G38" s="130"/>
      <c r="H38" s="130"/>
      <c r="I38" s="130"/>
      <c r="J38" s="132"/>
      <c r="K38" s="130"/>
      <c r="L38" s="132"/>
      <c r="M38" s="132"/>
      <c r="N38" s="132"/>
      <c r="O38" s="132"/>
      <c r="P38" s="133"/>
      <c r="Q38" s="132"/>
      <c r="R38" s="132"/>
      <c r="S38" s="131" t="s">
        <v>329</v>
      </c>
      <c r="T38" s="131"/>
      <c r="U38" s="131"/>
      <c r="V38" s="131"/>
      <c r="W38" s="131"/>
      <c r="X38" s="131"/>
      <c r="Y38" s="131"/>
      <c r="Z38" s="131"/>
      <c r="AA38" s="131"/>
      <c r="AB38" s="131" t="s">
        <v>329</v>
      </c>
      <c r="AC38" s="131"/>
      <c r="AD38" s="131"/>
      <c r="AE38" s="131"/>
      <c r="AF38" s="131"/>
      <c r="AG38" s="3"/>
      <c r="AH38" s="3"/>
    </row>
    <row r="39" spans="1:34" s="3" customFormat="1" ht="409.5" customHeight="1" x14ac:dyDescent="0.25">
      <c r="A39" s="3" t="s">
        <v>330</v>
      </c>
      <c r="B39" s="3" t="s">
        <v>331</v>
      </c>
      <c r="C39" s="3">
        <v>2014</v>
      </c>
      <c r="D39" s="3" t="s">
        <v>332</v>
      </c>
      <c r="E39" s="31" t="s">
        <v>776</v>
      </c>
      <c r="F39" s="31" t="s">
        <v>44</v>
      </c>
      <c r="G39" s="31">
        <v>1</v>
      </c>
      <c r="H39" s="31" t="str" cm="1">
        <f t="array" ref="H39">_xlfn.TEXTJOIN(", ", TRUE, IF(OR(ISNUMBER(SEARCH({"blood pressure","heart rate","anthropometrics","ecg","vo2max","spirometry","respiratory rate"},I39))),"Physiological", ""), IF(OR(ISNUMBER(SEARCH({"genetic"},I39))),"Risk", ""), IF(OR(ISNUMBER(SEARCH({"ultrasound","uv photog","facial","oral","CT scan"},I39))),"Imaging", ""), IF(OR(ISNUMBER(SEARCH({"glucose","hb1ac","lipids","nutrient"},I39))),"Blood", ""),IF(OR(ISNUMBER(SEARCH({"anthropometrics"},I39))),"Anthropometry", ""))</f>
        <v>Imaging</v>
      </c>
      <c r="I39" s="31" t="s">
        <v>333</v>
      </c>
      <c r="J39" s="31" t="s">
        <v>334</v>
      </c>
      <c r="K39" s="31">
        <v>1</v>
      </c>
      <c r="L39" s="31" t="s">
        <v>335</v>
      </c>
      <c r="M39" s="31" t="s">
        <v>336</v>
      </c>
      <c r="N39" s="31">
        <v>73</v>
      </c>
      <c r="O39" s="31">
        <v>67</v>
      </c>
      <c r="P39" s="59">
        <v>23</v>
      </c>
      <c r="Q39" s="31" t="s">
        <v>34</v>
      </c>
      <c r="R39" s="31" t="s">
        <v>34</v>
      </c>
      <c r="S39" s="31" t="s">
        <v>337</v>
      </c>
      <c r="T39" s="31" t="s">
        <v>338</v>
      </c>
      <c r="U39" s="31" t="s">
        <v>34</v>
      </c>
      <c r="V39" s="31" t="s">
        <v>339</v>
      </c>
      <c r="W39" s="31" t="s">
        <v>28</v>
      </c>
      <c r="X39" s="31" t="s">
        <v>340</v>
      </c>
      <c r="Y39" s="31" t="s">
        <v>34</v>
      </c>
      <c r="Z39" s="31" t="s">
        <v>341</v>
      </c>
      <c r="AA39" s="31">
        <v>2</v>
      </c>
      <c r="AB39" s="31" t="s">
        <v>39</v>
      </c>
      <c r="AC39" s="31" t="s">
        <v>65</v>
      </c>
      <c r="AD39" s="140" t="s">
        <v>342</v>
      </c>
      <c r="AE39" s="3">
        <v>2</v>
      </c>
    </row>
    <row r="40" spans="1:34" s="3" customFormat="1" ht="201.75" customHeight="1" x14ac:dyDescent="0.25">
      <c r="A40" s="3" t="s">
        <v>343</v>
      </c>
      <c r="B40" s="3" t="s">
        <v>344</v>
      </c>
      <c r="C40" s="3">
        <v>2018</v>
      </c>
      <c r="D40" s="3" t="s">
        <v>345</v>
      </c>
      <c r="E40" s="31" t="s">
        <v>776</v>
      </c>
      <c r="F40" s="31" t="s">
        <v>346</v>
      </c>
      <c r="G40" s="31">
        <v>1</v>
      </c>
      <c r="H40" s="31" t="str" cm="1">
        <f t="array" ref="H40">_xlfn.TEXTJOIN(", ", TRUE, IF(OR(ISNUMBER(SEARCH({"blood pressure","heart rate","anthropometrics","ecg","vo2max","spirometry","respiratory rate"},I40))),"Physiological", ""), IF(OR(ISNUMBER(SEARCH({"genetic"},I40))),"Risk", ""), IF(OR(ISNUMBER(SEARCH({"ultrasound","uv photog","facial","oral","CT scan"},I40))),"Imaging", ""), IF(OR(ISNUMBER(SEARCH({"glucose","hb1ac","lipids","nutrient"},I40))),"Blood", ""),IF(OR(ISNUMBER(SEARCH({"anthropometrics"},I40))),"Anthropometry", ""))</f>
        <v>Imaging</v>
      </c>
      <c r="I40" s="31" t="s">
        <v>347</v>
      </c>
      <c r="J40" s="31" t="s">
        <v>348</v>
      </c>
      <c r="K40" s="31">
        <v>1</v>
      </c>
      <c r="L40" s="31" t="s">
        <v>46</v>
      </c>
      <c r="M40" s="31" t="s">
        <v>349</v>
      </c>
      <c r="N40" s="31">
        <v>142</v>
      </c>
      <c r="O40" s="31">
        <v>59</v>
      </c>
      <c r="P40" s="59">
        <v>38.4</v>
      </c>
      <c r="Q40" s="31" t="s">
        <v>34</v>
      </c>
      <c r="R40" s="31" t="s">
        <v>28</v>
      </c>
      <c r="S40" s="31" t="s">
        <v>350</v>
      </c>
      <c r="T40" s="31" t="s">
        <v>351</v>
      </c>
      <c r="U40" s="31" t="s">
        <v>34</v>
      </c>
      <c r="V40" s="31" t="s">
        <v>352</v>
      </c>
      <c r="W40" s="31" t="s">
        <v>28</v>
      </c>
      <c r="X40" s="31" t="s">
        <v>353</v>
      </c>
      <c r="Y40" s="31" t="s">
        <v>28</v>
      </c>
      <c r="Z40" s="31" t="s">
        <v>341</v>
      </c>
      <c r="AA40" s="31">
        <v>2</v>
      </c>
      <c r="AB40" s="31" t="s">
        <v>39</v>
      </c>
      <c r="AC40" s="31" t="s">
        <v>354</v>
      </c>
      <c r="AD40" s="140" t="s">
        <v>355</v>
      </c>
      <c r="AE40" s="96">
        <v>3</v>
      </c>
      <c r="AF40" s="96"/>
    </row>
    <row r="41" spans="1:34" s="3" customFormat="1" ht="408.75" customHeight="1" x14ac:dyDescent="0.25">
      <c r="A41" s="13" t="s">
        <v>356</v>
      </c>
      <c r="B41" s="3" t="s">
        <v>357</v>
      </c>
      <c r="C41" s="3">
        <v>2009</v>
      </c>
      <c r="D41" s="3" t="s">
        <v>358</v>
      </c>
      <c r="E41" s="31" t="s">
        <v>776</v>
      </c>
      <c r="F41" s="31" t="s">
        <v>359</v>
      </c>
      <c r="G41" s="31">
        <v>1</v>
      </c>
      <c r="H41" s="31" t="str" cm="1">
        <f t="array" ref="H41">_xlfn.TEXTJOIN(", ", TRUE, IF(OR(ISNUMBER(SEARCH({"blood pressure","heart rate","anthropometrics","ecg","vo2max","spirometry","respiratory rate"},I41))),"Physiological", ""), IF(OR(ISNUMBER(SEARCH({"genetic"},I41))),"Risk", ""), IF(OR(ISNUMBER(SEARCH({"ultrasound","uv photog","facial","oral","CT scan"},I41))),"Imaging", ""), IF(OR(ISNUMBER(SEARCH({"glucose","hb1ac","lipids","nutrient"},I41))),"Blood", ""),IF(OR(ISNUMBER(SEARCH({"anthropometrics"},I41))),"Anthropometry", ""))</f>
        <v>Imaging</v>
      </c>
      <c r="I41" s="31" t="s">
        <v>360</v>
      </c>
      <c r="J41" s="31" t="s">
        <v>361</v>
      </c>
      <c r="K41" s="31">
        <v>1</v>
      </c>
      <c r="L41" s="31" t="s">
        <v>32</v>
      </c>
      <c r="M41" s="31" t="s">
        <v>362</v>
      </c>
      <c r="N41" s="31">
        <v>148</v>
      </c>
      <c r="O41" s="31">
        <v>0</v>
      </c>
      <c r="P41" s="59">
        <v>46.5</v>
      </c>
      <c r="Q41" s="31" t="s">
        <v>34</v>
      </c>
      <c r="R41" s="31" t="s">
        <v>34</v>
      </c>
      <c r="S41" s="31" t="s">
        <v>35</v>
      </c>
      <c r="T41" s="31" t="s">
        <v>363</v>
      </c>
      <c r="U41" s="31" t="s">
        <v>28</v>
      </c>
      <c r="V41" s="31" t="s">
        <v>364</v>
      </c>
      <c r="W41" s="31" t="s">
        <v>28</v>
      </c>
      <c r="X41" s="31" t="s">
        <v>365</v>
      </c>
      <c r="Y41" s="31" t="s">
        <v>34</v>
      </c>
      <c r="Z41" s="31" t="s">
        <v>366</v>
      </c>
      <c r="AA41" s="31">
        <v>2</v>
      </c>
      <c r="AB41" s="31" t="s">
        <v>39</v>
      </c>
      <c r="AC41" s="31" t="s">
        <v>367</v>
      </c>
      <c r="AD41" s="140" t="s">
        <v>176</v>
      </c>
      <c r="AE41" s="3">
        <v>1</v>
      </c>
    </row>
    <row r="42" spans="1:34" s="3" customFormat="1" ht="150" customHeight="1" x14ac:dyDescent="0.25">
      <c r="A42" s="3" t="s">
        <v>368</v>
      </c>
      <c r="B42" s="3" t="s">
        <v>369</v>
      </c>
      <c r="C42" s="3">
        <v>2007</v>
      </c>
      <c r="D42" s="3" t="s">
        <v>370</v>
      </c>
      <c r="E42" s="31" t="s">
        <v>776</v>
      </c>
      <c r="F42" s="31" t="s">
        <v>359</v>
      </c>
      <c r="G42" s="31">
        <v>1</v>
      </c>
      <c r="H42" s="31" t="str" cm="1">
        <f t="array" ref="H42">_xlfn.TEXTJOIN(", ", TRUE, IF(OR(ISNUMBER(SEARCH({"blood pressure","heart rate","anthropometrics","ecg","vo2max","spirometry","respiratory rate"},I42))),"Physiological", ""), IF(OR(ISNUMBER(SEARCH({"genetic"},I42))),"Risk", ""), IF(OR(ISNUMBER(SEARCH({"ultrasound","uv photog","facial","oral","CT scan"},I42))),"Imaging", ""), IF(OR(ISNUMBER(SEARCH({"glucose","hb1ac","lipids","nutrient"},I42))),"Blood", ""),IF(OR(ISNUMBER(SEARCH({"anthropometrics"},I42))),"Anthropometry", ""))</f>
        <v>Imaging</v>
      </c>
      <c r="I42" s="31" t="s">
        <v>371</v>
      </c>
      <c r="J42" s="31" t="s">
        <v>372</v>
      </c>
      <c r="K42" s="31">
        <v>1</v>
      </c>
      <c r="L42" s="31" t="s">
        <v>46</v>
      </c>
      <c r="M42" s="31" t="s">
        <v>373</v>
      </c>
      <c r="N42" s="31">
        <v>133</v>
      </c>
      <c r="O42" s="59">
        <v>80</v>
      </c>
      <c r="P42" s="59">
        <v>20.13</v>
      </c>
      <c r="Q42" s="59" t="s">
        <v>34</v>
      </c>
      <c r="R42" s="59" t="s">
        <v>34</v>
      </c>
      <c r="S42" s="31" t="s">
        <v>35</v>
      </c>
      <c r="T42" s="31" t="s">
        <v>374</v>
      </c>
      <c r="U42" s="31" t="s">
        <v>34</v>
      </c>
      <c r="V42" s="31" t="s">
        <v>375</v>
      </c>
      <c r="W42" s="31" t="s">
        <v>28</v>
      </c>
      <c r="X42" s="31" t="s">
        <v>376</v>
      </c>
      <c r="Y42" s="31" t="s">
        <v>34</v>
      </c>
      <c r="Z42" s="31" t="s">
        <v>366</v>
      </c>
      <c r="AA42" s="31">
        <v>2</v>
      </c>
      <c r="AB42" s="31" t="s">
        <v>377</v>
      </c>
      <c r="AC42" s="31" t="s">
        <v>65</v>
      </c>
      <c r="AD42" s="140" t="s">
        <v>176</v>
      </c>
      <c r="AE42" s="3">
        <v>1</v>
      </c>
    </row>
    <row r="43" spans="1:34" s="3" customFormat="1" ht="409.5" customHeight="1" x14ac:dyDescent="0.25">
      <c r="A43" s="3" t="s">
        <v>368</v>
      </c>
      <c r="B43" s="3" t="s">
        <v>378</v>
      </c>
      <c r="C43" s="3">
        <v>2006</v>
      </c>
      <c r="D43" s="3" t="s">
        <v>379</v>
      </c>
      <c r="E43" s="31" t="s">
        <v>776</v>
      </c>
      <c r="F43" s="31" t="s">
        <v>359</v>
      </c>
      <c r="G43" s="31">
        <v>1</v>
      </c>
      <c r="H43" s="31" t="str" cm="1">
        <f t="array" ref="H43">_xlfn.TEXTJOIN(", ", TRUE, IF(OR(ISNUMBER(SEARCH({"blood pressure","heart rate","anthropometrics","ecg","vo2max","spirometry","respiratory rate"},I43))),"Physiological", ""), IF(OR(ISNUMBER(SEARCH({"genetic"},I43))),"Risk", ""), IF(OR(ISNUMBER(SEARCH({"ultrasound","uv photog","facial","oral","CT scan"},I43))),"Imaging", ""), IF(OR(ISNUMBER(SEARCH({"glucose","hb1ac","lipids","nutrient"},I43))),"Blood", ""),IF(OR(ISNUMBER(SEARCH({"anthropometrics"},I43))),"Anthropometry", ""))</f>
        <v>Imaging</v>
      </c>
      <c r="I43" s="31" t="s">
        <v>371</v>
      </c>
      <c r="J43" s="31" t="s">
        <v>372</v>
      </c>
      <c r="K43" s="31">
        <v>1</v>
      </c>
      <c r="L43" s="31" t="s">
        <v>46</v>
      </c>
      <c r="M43" s="31" t="s">
        <v>380</v>
      </c>
      <c r="N43" s="31">
        <v>244</v>
      </c>
      <c r="O43" s="59">
        <v>59</v>
      </c>
      <c r="P43" s="59">
        <v>35.76</v>
      </c>
      <c r="Q43" s="59" t="s">
        <v>34</v>
      </c>
      <c r="R43" s="59" t="s">
        <v>34</v>
      </c>
      <c r="S43" s="31" t="s">
        <v>381</v>
      </c>
      <c r="T43" s="31" t="s">
        <v>382</v>
      </c>
      <c r="U43" s="31" t="s">
        <v>34</v>
      </c>
      <c r="V43" s="31" t="s">
        <v>383</v>
      </c>
      <c r="W43" s="31" t="s">
        <v>28</v>
      </c>
      <c r="X43" s="31" t="s">
        <v>384</v>
      </c>
      <c r="Y43" s="31" t="s">
        <v>34</v>
      </c>
      <c r="Z43" s="31" t="s">
        <v>366</v>
      </c>
      <c r="AA43" s="31">
        <v>2</v>
      </c>
      <c r="AB43" s="31" t="s">
        <v>377</v>
      </c>
      <c r="AC43" s="31" t="s">
        <v>762</v>
      </c>
      <c r="AD43" s="140" t="s">
        <v>385</v>
      </c>
      <c r="AE43" s="3">
        <v>2</v>
      </c>
    </row>
    <row r="44" spans="1:34" s="3" customFormat="1" ht="267" customHeight="1" x14ac:dyDescent="0.25">
      <c r="A44" s="3" t="s">
        <v>386</v>
      </c>
      <c r="B44" s="8" t="s">
        <v>387</v>
      </c>
      <c r="C44" s="3">
        <v>2005</v>
      </c>
      <c r="D44" s="3" t="s">
        <v>388</v>
      </c>
      <c r="E44" s="31" t="s">
        <v>776</v>
      </c>
      <c r="F44" s="31" t="s">
        <v>389</v>
      </c>
      <c r="G44" s="31">
        <v>1</v>
      </c>
      <c r="H44" s="31" t="str" cm="1">
        <f t="array" ref="H44">_xlfn.TEXTJOIN(", ", TRUE, IF(OR(ISNUMBER(SEARCH({"blood pressure","heart rate","anthropometrics","ecg","vo2max","spirometry","respiratory rate"},I44))),"Physiological", ""), IF(OR(ISNUMBER(SEARCH({"genetic"},I44))),"Risk", ""), IF(OR(ISNUMBER(SEARCH({"ultrasound","uv photog","facial","oral","CT scan"},I44))),"Imaging", ""), IF(OR(ISNUMBER(SEARCH({"glucose","hb1ac","lipids","nutrient"},I44))),"Blood", ""),IF(OR(ISNUMBER(SEARCH({"anthropometrics"},I44))),"Anthropometry", ""))</f>
        <v>Imaging</v>
      </c>
      <c r="I44" s="31" t="s">
        <v>371</v>
      </c>
      <c r="J44" s="31" t="s">
        <v>371</v>
      </c>
      <c r="K44" s="31">
        <v>1</v>
      </c>
      <c r="L44" s="31" t="s">
        <v>46</v>
      </c>
      <c r="M44" s="31" t="s">
        <v>390</v>
      </c>
      <c r="N44" s="31">
        <v>70</v>
      </c>
      <c r="O44" s="59">
        <v>51</v>
      </c>
      <c r="P44" s="59">
        <v>23</v>
      </c>
      <c r="Q44" s="59" t="s">
        <v>34</v>
      </c>
      <c r="R44" s="59" t="s">
        <v>34</v>
      </c>
      <c r="S44" s="31" t="s">
        <v>160</v>
      </c>
      <c r="T44" s="31" t="s">
        <v>391</v>
      </c>
      <c r="U44" s="31" t="s">
        <v>28</v>
      </c>
      <c r="V44" s="31" t="s">
        <v>392</v>
      </c>
      <c r="W44" s="31" t="s">
        <v>34</v>
      </c>
      <c r="X44" s="12" t="s">
        <v>393</v>
      </c>
      <c r="Y44" s="31" t="s">
        <v>34</v>
      </c>
      <c r="Z44" s="31" t="s">
        <v>341</v>
      </c>
      <c r="AA44" s="31">
        <v>2</v>
      </c>
      <c r="AB44" s="31" t="s">
        <v>377</v>
      </c>
      <c r="AC44" s="31" t="s">
        <v>65</v>
      </c>
      <c r="AD44" s="140" t="s">
        <v>385</v>
      </c>
      <c r="AE44" s="3">
        <v>2</v>
      </c>
    </row>
    <row r="45" spans="1:34" s="3" customFormat="1" ht="312.75" customHeight="1" x14ac:dyDescent="0.25">
      <c r="A45" s="3" t="s">
        <v>394</v>
      </c>
      <c r="B45" s="3" t="s">
        <v>395</v>
      </c>
      <c r="C45" s="3">
        <v>2016</v>
      </c>
      <c r="D45" s="3" t="s">
        <v>396</v>
      </c>
      <c r="E45" s="31" t="s">
        <v>776</v>
      </c>
      <c r="F45" s="31" t="s">
        <v>346</v>
      </c>
      <c r="G45" s="31">
        <v>1</v>
      </c>
      <c r="H45" s="31" t="str" cm="1">
        <f t="array" ref="H45">_xlfn.TEXTJOIN(", ", TRUE, IF(OR(ISNUMBER(SEARCH({"blood pressure","heart rate","anthropometrics","ecg","vo2max","spirometry","respiratory rate"},I45))),"Physiological", ""), IF(OR(ISNUMBER(SEARCH({"genetic"},I45))),"Risk", ""), IF(OR(ISNUMBER(SEARCH({"ultrasound","uv photog","facial","oral","CT scan"},I45))),"Imaging", ""), IF(OR(ISNUMBER(SEARCH({"glucose","hb1ac","lipids","nutrient"},I45))),"Blood", ""),IF(OR(ISNUMBER(SEARCH({"anthropometrics"},I45))),"Anthropometry", ""))</f>
        <v>Imaging</v>
      </c>
      <c r="I45" s="31" t="s">
        <v>347</v>
      </c>
      <c r="J45" s="31" t="s">
        <v>348</v>
      </c>
      <c r="K45" s="31">
        <v>1</v>
      </c>
      <c r="L45" s="31" t="s">
        <v>46</v>
      </c>
      <c r="M45" s="31" t="s">
        <v>397</v>
      </c>
      <c r="N45" s="31">
        <v>78</v>
      </c>
      <c r="O45" s="31">
        <v>56.25</v>
      </c>
      <c r="P45" s="59">
        <f>(21*(9+5)+29.5*(11+10)+39.5*(9+11)+49.5*(8+8)+65*(2+5)+75*(1+1))/(40+40)</f>
        <v>38.756250000000001</v>
      </c>
      <c r="Q45" s="31" t="s">
        <v>34</v>
      </c>
      <c r="R45" s="31" t="s">
        <v>28</v>
      </c>
      <c r="S45" s="31" t="s">
        <v>398</v>
      </c>
      <c r="T45" s="31" t="s">
        <v>399</v>
      </c>
      <c r="U45" s="31" t="s">
        <v>28</v>
      </c>
      <c r="V45" s="31" t="s">
        <v>400</v>
      </c>
      <c r="W45" s="31" t="s">
        <v>34</v>
      </c>
      <c r="X45" s="31" t="s">
        <v>401</v>
      </c>
      <c r="Y45" s="31" t="s">
        <v>34</v>
      </c>
      <c r="Z45" s="31" t="s">
        <v>38</v>
      </c>
      <c r="AA45" s="31">
        <v>1</v>
      </c>
      <c r="AB45" s="31" t="s">
        <v>39</v>
      </c>
      <c r="AC45" s="31" t="s">
        <v>402</v>
      </c>
      <c r="AD45" s="140" t="s">
        <v>403</v>
      </c>
      <c r="AE45" s="3">
        <v>3</v>
      </c>
      <c r="AF45" s="96"/>
    </row>
    <row r="46" spans="1:34" s="3" customFormat="1" ht="267" customHeight="1" x14ac:dyDescent="0.25">
      <c r="A46" s="3" t="s">
        <v>386</v>
      </c>
      <c r="B46" s="8" t="s">
        <v>387</v>
      </c>
      <c r="C46" s="3">
        <v>2005</v>
      </c>
      <c r="D46" s="3" t="s">
        <v>388</v>
      </c>
      <c r="E46" s="31" t="s">
        <v>776</v>
      </c>
      <c r="F46" s="31" t="s">
        <v>389</v>
      </c>
      <c r="G46" s="31">
        <v>1</v>
      </c>
      <c r="H46" s="31" t="str" cm="1">
        <f t="array" ref="H46">_xlfn.TEXTJOIN(", ", TRUE, IF(OR(ISNUMBER(SEARCH({"blood pressure","heart rate","anthropometrics","ecg","vo2max","spirometry","respiratory rate"},I46))),"Physiological", ""), IF(OR(ISNUMBER(SEARCH({"genetic"},I46))),"Risk", ""), IF(OR(ISNUMBER(SEARCH({"ultrasound","uv photog","facial","oral","CT scan"},I46))),"Imaging", ""), IF(OR(ISNUMBER(SEARCH({"glucose","hb1ac","lipids","nutrient"},I46))),"Blood", ""),IF(OR(ISNUMBER(SEARCH({"anthropometrics"},I46))),"Anthropometry", ""))</f>
        <v>Imaging</v>
      </c>
      <c r="I46" s="31" t="s">
        <v>371</v>
      </c>
      <c r="J46" s="31" t="s">
        <v>371</v>
      </c>
      <c r="K46" s="31">
        <v>1</v>
      </c>
      <c r="L46" s="31" t="s">
        <v>46</v>
      </c>
      <c r="M46" s="8" t="s">
        <v>404</v>
      </c>
      <c r="N46" s="8">
        <v>134</v>
      </c>
      <c r="O46" s="31">
        <v>53.7</v>
      </c>
      <c r="P46" s="59">
        <v>23</v>
      </c>
      <c r="Q46" s="31" t="s">
        <v>34</v>
      </c>
      <c r="R46" s="31" t="s">
        <v>34</v>
      </c>
      <c r="S46" s="31" t="s">
        <v>160</v>
      </c>
      <c r="T46" s="31" t="s">
        <v>391</v>
      </c>
      <c r="U46" s="31" t="s">
        <v>28</v>
      </c>
      <c r="V46" s="31" t="s">
        <v>392</v>
      </c>
      <c r="W46" s="31" t="s">
        <v>34</v>
      </c>
      <c r="X46" s="57" t="s">
        <v>405</v>
      </c>
      <c r="Y46" s="31" t="s">
        <v>34</v>
      </c>
      <c r="Z46" s="31" t="s">
        <v>341</v>
      </c>
      <c r="AA46" s="31">
        <v>2</v>
      </c>
      <c r="AB46" s="31" t="s">
        <v>377</v>
      </c>
      <c r="AC46" s="31" t="s">
        <v>65</v>
      </c>
      <c r="AD46" s="140" t="s">
        <v>385</v>
      </c>
      <c r="AE46" s="3">
        <v>2</v>
      </c>
    </row>
    <row r="47" spans="1:34" s="3" customFormat="1" ht="132" customHeight="1" x14ac:dyDescent="0.25">
      <c r="A47" s="7" t="s">
        <v>406</v>
      </c>
      <c r="B47" s="3" t="s">
        <v>407</v>
      </c>
      <c r="C47" s="3">
        <v>2003</v>
      </c>
      <c r="D47" s="5" t="s">
        <v>408</v>
      </c>
      <c r="E47" s="31" t="s">
        <v>776</v>
      </c>
      <c r="F47" s="31" t="s">
        <v>359</v>
      </c>
      <c r="G47" s="31">
        <v>1</v>
      </c>
      <c r="H47" s="31" t="str" cm="1">
        <f t="array" ref="H47">_xlfn.TEXTJOIN(", ", TRUE, IF(OR(ISNUMBER(SEARCH({"blood pressure","heart rate","anthropometrics","ecg","vo2max","spirometry","respiratory rate"},I47))),"Physiological", ""), IF(OR(ISNUMBER(SEARCH({"genetic"},I47))),"Risk", ""), IF(OR(ISNUMBER(SEARCH({"ultrasound","uv photog","facial","oral","CT scan"},I47))),"Imaging", ""), IF(OR(ISNUMBER(SEARCH({"glucose","hb1ac","lipids","nutrient"},I47))),"Blood", ""),IF(OR(ISNUMBER(SEARCH({"anthropometrics"},I47))),"Anthropometry", ""))</f>
        <v>Imaging</v>
      </c>
      <c r="I47" s="31" t="s">
        <v>360</v>
      </c>
      <c r="J47" s="31" t="s">
        <v>409</v>
      </c>
      <c r="K47" s="31">
        <v>1</v>
      </c>
      <c r="L47" s="31" t="s">
        <v>46</v>
      </c>
      <c r="M47" s="31" t="s">
        <v>410</v>
      </c>
      <c r="N47" s="31">
        <v>76</v>
      </c>
      <c r="O47" s="31">
        <v>65.7</v>
      </c>
      <c r="P47" s="59">
        <v>35.28</v>
      </c>
      <c r="Q47" s="31" t="s">
        <v>34</v>
      </c>
      <c r="R47" s="31" t="s">
        <v>34</v>
      </c>
      <c r="S47" s="31" t="s">
        <v>160</v>
      </c>
      <c r="T47" s="31" t="s">
        <v>411</v>
      </c>
      <c r="U47" s="31" t="s">
        <v>28</v>
      </c>
      <c r="V47" s="31" t="s">
        <v>412</v>
      </c>
      <c r="W47" s="31" t="s">
        <v>28</v>
      </c>
      <c r="X47" s="12" t="s">
        <v>413</v>
      </c>
      <c r="Y47" s="31" t="s">
        <v>34</v>
      </c>
      <c r="Z47" s="31" t="s">
        <v>341</v>
      </c>
      <c r="AA47" s="31">
        <v>2</v>
      </c>
      <c r="AB47" s="31" t="s">
        <v>39</v>
      </c>
      <c r="AC47" s="31" t="s">
        <v>65</v>
      </c>
      <c r="AD47" s="140" t="s">
        <v>176</v>
      </c>
      <c r="AE47" s="3">
        <v>1</v>
      </c>
    </row>
    <row r="48" spans="1:34" s="3" customFormat="1" ht="132" customHeight="1" x14ac:dyDescent="0.25">
      <c r="A48" s="7" t="s">
        <v>406</v>
      </c>
      <c r="B48" s="3" t="s">
        <v>407</v>
      </c>
      <c r="C48" s="3">
        <v>2003</v>
      </c>
      <c r="D48" s="3" t="s">
        <v>408</v>
      </c>
      <c r="E48" s="31" t="s">
        <v>777</v>
      </c>
      <c r="F48" s="31" t="s">
        <v>359</v>
      </c>
      <c r="G48" s="31">
        <v>1</v>
      </c>
      <c r="H48" s="31" t="str" cm="1">
        <f t="array" ref="H48">_xlfn.TEXTJOIN(", ", TRUE, IF(OR(ISNUMBER(SEARCH({"blood pressure","heart rate","anthropometrics","ecg","vo2max","spirometry","respiratory rate"},I48))),"Physiological", ""), IF(OR(ISNUMBER(SEARCH({"genetic"},I48))),"Risk", ""), IF(OR(ISNUMBER(SEARCH({"ultrasound","uv photog","facial","oral","CT scan"},I48))),"Imaging", ""), IF(OR(ISNUMBER(SEARCH({"glucose","hb1ac","lipids","nutrient"},I48))),"Blood", ""),IF(OR(ISNUMBER(SEARCH({"anthropometrics"},I48))),"Anthropometry", ""))</f>
        <v>Imaging</v>
      </c>
      <c r="I48" s="31" t="s">
        <v>360</v>
      </c>
      <c r="J48" s="31" t="s">
        <v>409</v>
      </c>
      <c r="K48" s="31">
        <v>1</v>
      </c>
      <c r="L48" s="31" t="s">
        <v>46</v>
      </c>
      <c r="M48" s="31" t="s">
        <v>414</v>
      </c>
      <c r="N48" s="31">
        <v>68</v>
      </c>
      <c r="O48" s="31">
        <v>86.7</v>
      </c>
      <c r="P48" s="59">
        <v>20.13</v>
      </c>
      <c r="Q48" s="31" t="s">
        <v>34</v>
      </c>
      <c r="R48" s="31" t="s">
        <v>34</v>
      </c>
      <c r="S48" s="31" t="s">
        <v>160</v>
      </c>
      <c r="T48" s="31" t="s">
        <v>411</v>
      </c>
      <c r="U48" s="31" t="s">
        <v>28</v>
      </c>
      <c r="V48" s="31" t="s">
        <v>412</v>
      </c>
      <c r="W48" s="31" t="s">
        <v>28</v>
      </c>
      <c r="X48" s="12" t="s">
        <v>415</v>
      </c>
      <c r="Y48" s="31" t="s">
        <v>34</v>
      </c>
      <c r="Z48" s="31" t="s">
        <v>341</v>
      </c>
      <c r="AA48" s="31">
        <v>2</v>
      </c>
      <c r="AB48" s="31" t="s">
        <v>39</v>
      </c>
      <c r="AC48" s="31" t="s">
        <v>65</v>
      </c>
      <c r="AD48" s="140" t="s">
        <v>176</v>
      </c>
      <c r="AE48" s="3">
        <v>1</v>
      </c>
    </row>
    <row r="49" spans="1:34" s="3" customFormat="1" ht="388.5" customHeight="1" x14ac:dyDescent="0.25">
      <c r="A49" s="31" t="s">
        <v>416</v>
      </c>
      <c r="B49" s="31" t="s">
        <v>417</v>
      </c>
      <c r="C49" s="31">
        <v>2007</v>
      </c>
      <c r="D49" s="3" t="s">
        <v>418</v>
      </c>
      <c r="E49" s="31" t="s">
        <v>777</v>
      </c>
      <c r="F49" s="12" t="s">
        <v>419</v>
      </c>
      <c r="G49" s="31">
        <v>4</v>
      </c>
      <c r="H49" s="31" t="str" cm="1">
        <f t="array" ref="H49">_xlfn.TEXTJOIN(", ", TRUE, IF(OR(ISNUMBER(SEARCH({"blood pressure","heart rate","anthropometrics","ecg","vo2max","spirometry","respiratory rate"},I49))),"Physiological", ""), IF(OR(ISNUMBER(SEARCH({"genetic"},I49))),"Risk", ""), IF(OR(ISNUMBER(SEARCH({"ultrasound","uv photog","facial","oral","CT scan"},I49))),"Imaging", ""), IF(OR(ISNUMBER(SEARCH({"glucose","hb1ac","lipids","nutrient"},I49))),"Blood", ""),IF(OR(ISNUMBER(SEARCH({"anthropometrics"},I49))),"Anthropometry", ""))</f>
        <v>Imaging</v>
      </c>
      <c r="I49" s="31" t="s">
        <v>420</v>
      </c>
      <c r="J49" s="31" t="s">
        <v>421</v>
      </c>
      <c r="K49" s="31">
        <v>1</v>
      </c>
      <c r="L49" s="8" t="s">
        <v>422</v>
      </c>
      <c r="M49" s="31" t="s">
        <v>423</v>
      </c>
      <c r="N49" s="31">
        <v>56</v>
      </c>
      <c r="O49" s="31">
        <v>100</v>
      </c>
      <c r="P49" s="59">
        <f>(63.8*26+65.5*30)/(26+30)</f>
        <v>64.710714285714289</v>
      </c>
      <c r="Q49" s="31" t="s">
        <v>28</v>
      </c>
      <c r="R49" s="31" t="s">
        <v>28</v>
      </c>
      <c r="S49" s="31" t="s">
        <v>35</v>
      </c>
      <c r="T49" s="31" t="s">
        <v>424</v>
      </c>
      <c r="U49" s="31" t="s">
        <v>28</v>
      </c>
      <c r="V49" s="31" t="s">
        <v>425</v>
      </c>
      <c r="W49" s="31" t="s">
        <v>34</v>
      </c>
      <c r="X49" s="12" t="s">
        <v>426</v>
      </c>
      <c r="Y49" s="31" t="s">
        <v>34</v>
      </c>
      <c r="Z49" s="31" t="s">
        <v>341</v>
      </c>
      <c r="AA49" s="31">
        <v>2</v>
      </c>
      <c r="AB49" s="31" t="s">
        <v>39</v>
      </c>
      <c r="AC49" s="31" t="s">
        <v>65</v>
      </c>
      <c r="AD49" s="140" t="s">
        <v>427</v>
      </c>
      <c r="AE49" s="31">
        <v>3</v>
      </c>
      <c r="AF49" s="31"/>
      <c r="AG49" s="31"/>
      <c r="AH49" s="31"/>
    </row>
    <row r="50" spans="1:34" s="3" customFormat="1" ht="408.75" customHeight="1" x14ac:dyDescent="0.25">
      <c r="A50" s="3" t="s">
        <v>428</v>
      </c>
      <c r="B50" s="3" t="s">
        <v>429</v>
      </c>
      <c r="C50" s="3">
        <v>2020</v>
      </c>
      <c r="D50" s="3" t="s">
        <v>430</v>
      </c>
      <c r="E50" s="12" t="s">
        <v>777</v>
      </c>
      <c r="F50" s="31" t="s">
        <v>346</v>
      </c>
      <c r="G50" s="31">
        <v>1</v>
      </c>
      <c r="H50" s="31" t="str" cm="1">
        <f t="array" ref="H50">_xlfn.TEXTJOIN(", ", TRUE, IF(OR(ISNUMBER(SEARCH({"blood pressure","heart rate","anthropometrics","ecg","vo2max","spirometry","respiratory rate"},I50))),"Physiological", ""), IF(OR(ISNUMBER(SEARCH({"genetic"},I50))),"Risk", ""), IF(OR(ISNUMBER(SEARCH({"ultrasound","uv photog","facial","oral","CT scan"},I50))),"Imaging", ""), IF(OR(ISNUMBER(SEARCH({"glucose","hb1ac","lipids","nutrient"},I50))),"Blood", ""),IF(OR(ISNUMBER(SEARCH({"anthropometrics"},I50))),"Anthropometry", ""))</f>
        <v>Imaging</v>
      </c>
      <c r="I50" s="31" t="s">
        <v>347</v>
      </c>
      <c r="J50" s="31" t="s">
        <v>431</v>
      </c>
      <c r="K50" s="31">
        <v>1</v>
      </c>
      <c r="L50" s="31" t="s">
        <v>432</v>
      </c>
      <c r="M50" s="31" t="s">
        <v>433</v>
      </c>
      <c r="N50" s="31">
        <v>412</v>
      </c>
      <c r="O50" s="31">
        <v>60</v>
      </c>
      <c r="P50" s="59">
        <f>(26*43+49.5*77+70*32)/183</f>
        <v>39.177595628415304</v>
      </c>
      <c r="Q50" s="31" t="s">
        <v>28</v>
      </c>
      <c r="R50" s="31" t="s">
        <v>28</v>
      </c>
      <c r="S50" s="31" t="s">
        <v>35</v>
      </c>
      <c r="T50" s="8" t="s">
        <v>434</v>
      </c>
      <c r="U50" s="8" t="s">
        <v>28</v>
      </c>
      <c r="V50" s="12" t="s">
        <v>435</v>
      </c>
      <c r="W50" s="12" t="s">
        <v>34</v>
      </c>
      <c r="X50" s="31" t="s">
        <v>436</v>
      </c>
      <c r="Y50" s="12" t="s">
        <v>34</v>
      </c>
      <c r="Z50" s="31" t="s">
        <v>341</v>
      </c>
      <c r="AA50" s="31">
        <v>2</v>
      </c>
      <c r="AB50" s="31" t="s">
        <v>39</v>
      </c>
      <c r="AC50" s="31" t="s">
        <v>65</v>
      </c>
      <c r="AD50" s="140" t="s">
        <v>342</v>
      </c>
      <c r="AE50" s="3">
        <v>2</v>
      </c>
    </row>
    <row r="51" spans="1:34" x14ac:dyDescent="0.25">
      <c r="A51" s="66"/>
      <c r="B51" s="66"/>
      <c r="C51" s="66"/>
      <c r="D51" s="66"/>
      <c r="E51" s="67"/>
      <c r="F51" s="67"/>
      <c r="G51" s="67"/>
      <c r="H51" s="67"/>
      <c r="I51" s="67"/>
      <c r="J51" s="67"/>
      <c r="K51" s="67"/>
      <c r="L51" s="67"/>
      <c r="M51" s="67"/>
      <c r="N51" s="67"/>
      <c r="O51" s="67"/>
      <c r="P51" s="68"/>
      <c r="Q51" s="67"/>
      <c r="R51" s="67"/>
      <c r="S51" s="67" t="s">
        <v>329</v>
      </c>
      <c r="T51" s="67"/>
      <c r="U51" s="67"/>
      <c r="V51" s="67"/>
      <c r="W51" s="67"/>
      <c r="X51" s="67"/>
      <c r="Y51" s="67"/>
      <c r="Z51" s="67"/>
      <c r="AA51" s="67"/>
      <c r="AB51" s="67" t="s">
        <v>329</v>
      </c>
      <c r="AC51" s="67"/>
      <c r="AD51" s="67"/>
      <c r="AE51" s="67"/>
      <c r="AF51" s="67"/>
      <c r="AG51" s="3"/>
      <c r="AH51" s="3"/>
    </row>
    <row r="52" spans="1:34" ht="15" customHeight="1" x14ac:dyDescent="0.25">
      <c r="A52" s="125" t="s">
        <v>769</v>
      </c>
      <c r="B52" s="126"/>
      <c r="C52" s="126"/>
      <c r="D52" s="127"/>
      <c r="E52" s="126"/>
      <c r="F52" s="126"/>
      <c r="G52" s="126"/>
      <c r="H52" s="126"/>
      <c r="I52" s="126"/>
      <c r="J52" s="127"/>
      <c r="K52" s="126"/>
      <c r="L52" s="127"/>
      <c r="M52" s="127"/>
      <c r="N52" s="127"/>
      <c r="O52" s="127"/>
      <c r="P52" s="128"/>
      <c r="Q52" s="127"/>
      <c r="R52" s="127"/>
      <c r="S52" s="127" t="s">
        <v>329</v>
      </c>
      <c r="T52" s="127"/>
      <c r="U52" s="127"/>
      <c r="V52" s="127" t="s">
        <v>461</v>
      </c>
      <c r="W52" s="127"/>
      <c r="X52" s="127"/>
      <c r="Y52" s="127"/>
      <c r="Z52" s="127"/>
      <c r="AA52" s="127"/>
      <c r="AB52" s="127" t="s">
        <v>329</v>
      </c>
      <c r="AC52" s="127"/>
      <c r="AD52" s="127"/>
      <c r="AE52" s="127"/>
      <c r="AF52" s="127"/>
      <c r="AG52" s="3"/>
      <c r="AH52" s="3"/>
    </row>
    <row r="53" spans="1:34" ht="15" customHeight="1" x14ac:dyDescent="0.25">
      <c r="A53" s="113" t="s">
        <v>462</v>
      </c>
      <c r="B53" s="117" t="s">
        <v>771</v>
      </c>
      <c r="C53" s="113"/>
      <c r="D53" s="114"/>
      <c r="E53" s="115"/>
      <c r="F53" s="115"/>
      <c r="G53" s="115"/>
      <c r="H53" s="115"/>
      <c r="I53" s="115"/>
      <c r="J53" s="115"/>
      <c r="K53" s="115"/>
      <c r="L53" s="115"/>
      <c r="M53" s="115"/>
      <c r="N53" s="115"/>
      <c r="O53" s="115"/>
      <c r="P53" s="116"/>
      <c r="Q53" s="115"/>
      <c r="R53" s="115"/>
      <c r="S53" s="115" t="s">
        <v>329</v>
      </c>
      <c r="T53" s="115"/>
      <c r="U53" s="115"/>
      <c r="V53" s="115"/>
      <c r="W53" s="115"/>
      <c r="X53" s="115"/>
      <c r="Y53" s="115"/>
      <c r="Z53" s="115"/>
      <c r="AA53" s="115"/>
      <c r="AB53" s="115" t="s">
        <v>329</v>
      </c>
      <c r="AC53" s="115"/>
      <c r="AD53" s="115"/>
      <c r="AE53" s="115"/>
      <c r="AF53" s="115"/>
      <c r="AG53" s="3"/>
      <c r="AH53" s="3"/>
    </row>
    <row r="54" spans="1:34" s="3" customFormat="1" ht="409.5" customHeight="1" x14ac:dyDescent="0.25">
      <c r="A54" s="3" t="s">
        <v>463</v>
      </c>
      <c r="B54" s="3" t="s">
        <v>464</v>
      </c>
      <c r="C54" s="3">
        <v>2011</v>
      </c>
      <c r="D54" s="3" t="s">
        <v>465</v>
      </c>
      <c r="E54" s="31" t="s">
        <v>777</v>
      </c>
      <c r="F54" s="31" t="s">
        <v>190</v>
      </c>
      <c r="G54" s="31">
        <v>1</v>
      </c>
      <c r="H54" s="31" t="str" cm="1">
        <f t="array" ref="H54">_xlfn.TEXTJOIN(", ", TRUE, IF(OR(ISNUMBER(SEARCH({"blood pressure","heart rate","anthropometrics","ecg","vo2max","spirometry","respiratory rate"},I54))),"Physiological", ""), IF(OR(ISNUMBER(SEARCH({"genetic"},I54))),"Risk", ""), IF(OR(ISNUMBER(SEARCH({"ultrasound","uv photog","facial","oral","CT scan"},I54))),"Imaging", ""), IF(OR(ISNUMBER(SEARCH({"glucose","hb1ac","lipids","nutrient"},I54))),"Blood", ""),IF(OR(ISNUMBER(SEARCH({"anthropometrics"},I54))),"Anthropometry", ""))</f>
        <v>Physiological, Blood</v>
      </c>
      <c r="I54" s="31" t="s">
        <v>466</v>
      </c>
      <c r="J54" s="31" t="s">
        <v>467</v>
      </c>
      <c r="K54" s="31">
        <v>4</v>
      </c>
      <c r="L54" s="31" t="s">
        <v>46</v>
      </c>
      <c r="M54" s="31" t="s">
        <v>468</v>
      </c>
      <c r="N54" s="31">
        <v>194</v>
      </c>
      <c r="O54" s="31">
        <v>33</v>
      </c>
      <c r="P54" s="59">
        <v>62.3</v>
      </c>
      <c r="Q54" s="31" t="s">
        <v>34</v>
      </c>
      <c r="R54" s="31" t="s">
        <v>34</v>
      </c>
      <c r="S54" s="31" t="s">
        <v>160</v>
      </c>
      <c r="T54" s="12" t="s">
        <v>469</v>
      </c>
      <c r="U54" s="12" t="s">
        <v>34</v>
      </c>
      <c r="V54" s="31" t="s">
        <v>470</v>
      </c>
      <c r="W54" s="31" t="s">
        <v>28</v>
      </c>
      <c r="X54" s="31" t="s">
        <v>471</v>
      </c>
      <c r="Y54" s="31" t="s">
        <v>34</v>
      </c>
      <c r="Z54" s="31" t="s">
        <v>472</v>
      </c>
      <c r="AA54" s="31">
        <v>2</v>
      </c>
      <c r="AB54" s="31" t="s">
        <v>39</v>
      </c>
      <c r="AC54" s="31" t="s">
        <v>756</v>
      </c>
      <c r="AD54" s="140" t="s">
        <v>473</v>
      </c>
      <c r="AE54" s="3">
        <v>3</v>
      </c>
    </row>
    <row r="55" spans="1:34" ht="15" customHeight="1" x14ac:dyDescent="0.25">
      <c r="A55" s="117" t="s">
        <v>474</v>
      </c>
      <c r="B55" s="117" t="s">
        <v>475</v>
      </c>
      <c r="C55" s="117"/>
      <c r="D55" s="113"/>
      <c r="E55" s="118"/>
      <c r="F55" s="118"/>
      <c r="G55" s="118"/>
      <c r="H55" s="118"/>
      <c r="I55" s="118"/>
      <c r="J55" s="118"/>
      <c r="K55" s="118"/>
      <c r="L55" s="118"/>
      <c r="M55" s="118"/>
      <c r="N55" s="118"/>
      <c r="O55" s="118"/>
      <c r="P55" s="119"/>
      <c r="Q55" s="118"/>
      <c r="R55" s="118"/>
      <c r="S55" s="118" t="s">
        <v>329</v>
      </c>
      <c r="T55" s="118"/>
      <c r="U55" s="118"/>
      <c r="V55" s="118"/>
      <c r="W55" s="118"/>
      <c r="X55" s="118"/>
      <c r="Y55" s="118"/>
      <c r="Z55" s="115"/>
      <c r="AA55" s="118"/>
      <c r="AB55" s="118" t="s">
        <v>329</v>
      </c>
      <c r="AC55" s="118"/>
      <c r="AD55" s="118"/>
      <c r="AE55" s="118"/>
      <c r="AF55" s="118"/>
      <c r="AG55" s="6"/>
      <c r="AH55" s="6"/>
    </row>
    <row r="56" spans="1:34" s="3" customFormat="1" ht="409.5" customHeight="1" x14ac:dyDescent="0.25">
      <c r="A56" s="3" t="s">
        <v>476</v>
      </c>
      <c r="B56" s="3" t="s">
        <v>772</v>
      </c>
      <c r="C56" s="3">
        <v>2006</v>
      </c>
      <c r="D56" s="3" t="s">
        <v>477</v>
      </c>
      <c r="E56" s="31" t="s">
        <v>776</v>
      </c>
      <c r="F56" s="31" t="s">
        <v>478</v>
      </c>
      <c r="G56" s="31">
        <v>2</v>
      </c>
      <c r="H56" s="31" t="str" cm="1">
        <f t="array" ref="H56">_xlfn.TEXTJOIN(", ", TRUE, IF(OR(ISNUMBER(SEARCH({"blood pressure","heart rate","anthropometrics","ecg","vo2max","spirometry","respiratory rate"},I56))),"Physiological", ""), IF(OR(ISNUMBER(SEARCH({"genetic"},I56))),"Risk", ""), IF(OR(ISNUMBER(SEARCH({"ultrasound","uv photog","facial","oral","CT scan"},I56))),"Imaging", ""), IF(OR(ISNUMBER(SEARCH({"glucose","hb1ac","lipids","nutrient"},I56))),"Blood", ""),IF(OR(ISNUMBER(SEARCH({"anthropometrics"},I56))),"Anthropometry", ""))</f>
        <v>Physiological, Blood</v>
      </c>
      <c r="I56" s="31" t="s">
        <v>479</v>
      </c>
      <c r="J56" s="31" t="s">
        <v>480</v>
      </c>
      <c r="K56" s="31">
        <v>2</v>
      </c>
      <c r="L56" s="31"/>
      <c r="M56" s="31" t="s">
        <v>481</v>
      </c>
      <c r="N56" s="31">
        <v>1006</v>
      </c>
      <c r="O56" s="31">
        <v>63.9</v>
      </c>
      <c r="P56" s="59">
        <v>45.5</v>
      </c>
      <c r="Q56" s="31" t="s">
        <v>34</v>
      </c>
      <c r="R56" s="31" t="s">
        <v>34</v>
      </c>
      <c r="S56" s="31" t="s">
        <v>35</v>
      </c>
      <c r="T56" s="31" t="s">
        <v>482</v>
      </c>
      <c r="U56" s="31" t="s">
        <v>28</v>
      </c>
      <c r="V56" s="31" t="s">
        <v>483</v>
      </c>
      <c r="W56" s="31" t="s">
        <v>28</v>
      </c>
      <c r="X56" s="31" t="s">
        <v>484</v>
      </c>
      <c r="Y56" s="31" t="s">
        <v>34</v>
      </c>
      <c r="Z56" s="31" t="s">
        <v>38</v>
      </c>
      <c r="AA56" s="31">
        <v>1</v>
      </c>
      <c r="AB56" s="31" t="s">
        <v>125</v>
      </c>
      <c r="AC56" s="31" t="s">
        <v>485</v>
      </c>
      <c r="AD56" s="140" t="s">
        <v>486</v>
      </c>
      <c r="AE56" s="3">
        <v>3</v>
      </c>
    </row>
    <row r="57" spans="1:34" s="3" customFormat="1" ht="409.5" customHeight="1" x14ac:dyDescent="0.25">
      <c r="A57" s="3" t="s">
        <v>487</v>
      </c>
      <c r="B57" s="3" t="s">
        <v>488</v>
      </c>
      <c r="C57" s="3">
        <v>2006</v>
      </c>
      <c r="D57" s="3" t="s">
        <v>489</v>
      </c>
      <c r="E57" s="31" t="s">
        <v>777</v>
      </c>
      <c r="F57" s="31" t="s">
        <v>490</v>
      </c>
      <c r="G57" s="31">
        <v>4</v>
      </c>
      <c r="H57" s="31" t="str" cm="1">
        <f t="array" ref="H57">_xlfn.TEXTJOIN(", ", TRUE, IF(OR(ISNUMBER(SEARCH({"blood pressure","heart rate","anthropometrics","ecg","vo2max","spirometry","respiratory rate"},I57))),"Physiological", ""), IF(OR(ISNUMBER(SEARCH({"genetic"},I57))),"Risk", ""), IF(OR(ISNUMBER(SEARCH({"ultrasound","uv photog","facial","oral","CT scan"},I57))),"Imaging", ""), IF(OR(ISNUMBER(SEARCH({"glucose","hb1ac","lipids","nutrient"},I57))),"Blood", ""),IF(OR(ISNUMBER(SEARCH({"anthropometrics"},I57))),"Anthropometry", ""))</f>
        <v>Physiological, Blood</v>
      </c>
      <c r="I57" s="31" t="s">
        <v>491</v>
      </c>
      <c r="J57" s="31" t="s">
        <v>492</v>
      </c>
      <c r="K57" s="31">
        <v>3</v>
      </c>
      <c r="L57" s="31"/>
      <c r="M57" s="31" t="s">
        <v>493</v>
      </c>
      <c r="N57" s="31">
        <v>75</v>
      </c>
      <c r="O57" s="31">
        <v>59</v>
      </c>
      <c r="P57" s="59">
        <v>53</v>
      </c>
      <c r="Q57" s="31" t="s">
        <v>34</v>
      </c>
      <c r="R57" s="31" t="s">
        <v>28</v>
      </c>
      <c r="S57" s="31" t="s">
        <v>60</v>
      </c>
      <c r="T57" s="12" t="s">
        <v>494</v>
      </c>
      <c r="U57" s="12" t="s">
        <v>34</v>
      </c>
      <c r="V57" s="31" t="s">
        <v>495</v>
      </c>
      <c r="W57" s="31" t="s">
        <v>34</v>
      </c>
      <c r="X57" s="31" t="s">
        <v>496</v>
      </c>
      <c r="Y57" s="31" t="s">
        <v>34</v>
      </c>
      <c r="Z57" s="31" t="s">
        <v>124</v>
      </c>
      <c r="AA57" s="31">
        <v>1</v>
      </c>
      <c r="AB57" s="31" t="s">
        <v>39</v>
      </c>
      <c r="AC57" s="31" t="s">
        <v>65</v>
      </c>
      <c r="AD57" s="140" t="s">
        <v>176</v>
      </c>
      <c r="AE57" s="3">
        <v>1</v>
      </c>
    </row>
    <row r="58" spans="1:34" s="3" customFormat="1" ht="15" customHeight="1" x14ac:dyDescent="0.25">
      <c r="A58" s="117" t="s">
        <v>497</v>
      </c>
      <c r="B58" s="120" t="s">
        <v>766</v>
      </c>
      <c r="C58" s="117"/>
      <c r="D58" s="114"/>
      <c r="E58" s="118"/>
      <c r="F58" s="118"/>
      <c r="G58" s="118"/>
      <c r="H58" s="118"/>
      <c r="I58" s="118"/>
      <c r="J58" s="118"/>
      <c r="K58" s="118"/>
      <c r="L58" s="118"/>
      <c r="M58" s="118"/>
      <c r="N58" s="118"/>
      <c r="O58" s="118"/>
      <c r="P58" s="119"/>
      <c r="Q58" s="118"/>
      <c r="R58" s="118"/>
      <c r="S58" s="118" t="s">
        <v>329</v>
      </c>
      <c r="T58" s="118"/>
      <c r="U58" s="118"/>
      <c r="V58" s="118"/>
      <c r="W58" s="118"/>
      <c r="X58" s="118"/>
      <c r="Y58" s="118"/>
      <c r="Z58" s="115"/>
      <c r="AA58" s="118"/>
      <c r="AB58" s="118" t="s">
        <v>329</v>
      </c>
      <c r="AC58" s="118"/>
      <c r="AD58" s="118"/>
      <c r="AE58" s="118"/>
      <c r="AF58" s="118"/>
      <c r="AG58" s="6"/>
      <c r="AH58" s="6"/>
    </row>
    <row r="59" spans="1:34" s="3" customFormat="1" ht="255" customHeight="1" x14ac:dyDescent="0.25">
      <c r="A59" s="3" t="s">
        <v>498</v>
      </c>
      <c r="B59" s="3" t="s">
        <v>499</v>
      </c>
      <c r="C59" s="3">
        <v>2004</v>
      </c>
      <c r="D59" s="3" t="s">
        <v>500</v>
      </c>
      <c r="E59" s="31" t="s">
        <v>777</v>
      </c>
      <c r="F59" s="31" t="s">
        <v>501</v>
      </c>
      <c r="G59" s="31">
        <v>3</v>
      </c>
      <c r="H59" s="31" t="str" cm="1">
        <f t="array" ref="H59">_xlfn.TEXTJOIN(", ", TRUE, IF(OR(ISNUMBER(SEARCH({"blood pressure","heart rate","anthropometrics","ecg","vo2max","spirometry","respiratory rate"},I59))),"Physiological", ""), IF(OR(ISNUMBER(SEARCH({"genetic"},I59))),"Risk", ""), IF(OR(ISNUMBER(SEARCH({"ultrasound","uv photog","facial","oral","CT scan"},I59))),"Imaging", ""), IF(OR(ISNUMBER(SEARCH({"glucose","hb1ac","lipids","nutrient"},I59))),"Blood", ""),IF(OR(ISNUMBER(SEARCH({"anthropometrics"},I59))),"Anthropometry", ""))</f>
        <v>Risk</v>
      </c>
      <c r="I59" s="31" t="s">
        <v>502</v>
      </c>
      <c r="J59" s="31" t="s">
        <v>503</v>
      </c>
      <c r="K59" s="31">
        <v>1</v>
      </c>
      <c r="L59" s="31" t="s">
        <v>46</v>
      </c>
      <c r="M59" s="31" t="s">
        <v>504</v>
      </c>
      <c r="N59" s="31">
        <v>341</v>
      </c>
      <c r="O59" s="31">
        <v>57</v>
      </c>
      <c r="P59" s="59">
        <f>(56.2*196+55.9*79+44.1*17+48.9*24)/(196+79+17+24)</f>
        <v>54.919620253164553</v>
      </c>
      <c r="Q59" s="31" t="s">
        <v>34</v>
      </c>
      <c r="R59" s="31" t="s">
        <v>28</v>
      </c>
      <c r="S59" s="31" t="s">
        <v>60</v>
      </c>
      <c r="T59" s="31" t="s">
        <v>505</v>
      </c>
      <c r="U59" s="31" t="s">
        <v>34</v>
      </c>
      <c r="V59" s="31" t="s">
        <v>506</v>
      </c>
      <c r="W59" s="31" t="s">
        <v>34</v>
      </c>
      <c r="X59" s="31" t="s">
        <v>507</v>
      </c>
      <c r="Y59" s="31" t="s">
        <v>34</v>
      </c>
      <c r="Z59" s="31" t="s">
        <v>38</v>
      </c>
      <c r="AA59" s="31">
        <v>1</v>
      </c>
      <c r="AB59" s="31" t="s">
        <v>39</v>
      </c>
      <c r="AC59" s="31" t="s">
        <v>65</v>
      </c>
      <c r="AD59" s="140" t="s">
        <v>176</v>
      </c>
      <c r="AE59" s="3">
        <v>1</v>
      </c>
    </row>
    <row r="60" spans="1:34" s="3" customFormat="1" ht="135" customHeight="1" x14ac:dyDescent="0.25">
      <c r="A60" s="3" t="s">
        <v>508</v>
      </c>
      <c r="B60" s="3" t="s">
        <v>509</v>
      </c>
      <c r="C60" s="3">
        <v>2008</v>
      </c>
      <c r="D60" s="3" t="s">
        <v>510</v>
      </c>
      <c r="E60" s="31" t="s">
        <v>776</v>
      </c>
      <c r="F60" s="31" t="s">
        <v>321</v>
      </c>
      <c r="G60" s="31">
        <v>4</v>
      </c>
      <c r="H60" s="31" t="str" cm="1">
        <f t="array" ref="H60">_xlfn.TEXTJOIN(", ", TRUE, IF(OR(ISNUMBER(SEARCH({"blood pressure","heart rate","anthropometrics","ecg","vo2max","spirometry","respiratory rate"},I60))),"Physiological", ""), IF(OR(ISNUMBER(SEARCH({"genetic"},I60))),"Risk", ""), IF(OR(ISNUMBER(SEARCH({"ultrasound","uv photog","facial","oral","CT scan"},I60))),"Imaging", ""), IF(OR(ISNUMBER(SEARCH({"glucose","hb1ac","lipids","nutrient"},I60))),"Blood", ""),IF(OR(ISNUMBER(SEARCH({"anthropometrics"},I60))),"Anthropometry", ""))</f>
        <v>Risk</v>
      </c>
      <c r="I60" s="31" t="s">
        <v>502</v>
      </c>
      <c r="J60" s="31" t="s">
        <v>511</v>
      </c>
      <c r="K60" s="31">
        <v>1</v>
      </c>
      <c r="L60" s="31" t="s">
        <v>46</v>
      </c>
      <c r="M60" s="31" t="s">
        <v>512</v>
      </c>
      <c r="N60" s="31">
        <v>162</v>
      </c>
      <c r="O60" s="31">
        <v>73</v>
      </c>
      <c r="P60" s="59">
        <v>52.8</v>
      </c>
      <c r="Q60" s="31" t="s">
        <v>34</v>
      </c>
      <c r="R60" s="31" t="s">
        <v>28</v>
      </c>
      <c r="S60" s="31" t="s">
        <v>35</v>
      </c>
      <c r="T60" s="31" t="s">
        <v>513</v>
      </c>
      <c r="U60" s="31" t="s">
        <v>34</v>
      </c>
      <c r="V60" s="31" t="s">
        <v>514</v>
      </c>
      <c r="W60" s="31" t="s">
        <v>28</v>
      </c>
      <c r="X60" s="31" t="s">
        <v>515</v>
      </c>
      <c r="Y60" s="31" t="s">
        <v>34</v>
      </c>
      <c r="Z60" s="31" t="s">
        <v>516</v>
      </c>
      <c r="AA60" s="31">
        <v>1</v>
      </c>
      <c r="AB60" s="31" t="s">
        <v>39</v>
      </c>
      <c r="AC60" s="31" t="s">
        <v>65</v>
      </c>
      <c r="AD60" s="140" t="s">
        <v>176</v>
      </c>
      <c r="AE60" s="3">
        <v>1</v>
      </c>
    </row>
    <row r="61" spans="1:34" s="3" customFormat="1" ht="15" customHeight="1" x14ac:dyDescent="0.25">
      <c r="A61" s="117" t="s">
        <v>517</v>
      </c>
      <c r="B61" s="117" t="s">
        <v>518</v>
      </c>
      <c r="C61" s="117"/>
      <c r="D61" s="113"/>
      <c r="E61" s="118"/>
      <c r="F61" s="118"/>
      <c r="G61" s="118"/>
      <c r="H61" s="118" t="str" cm="1">
        <f t="array" ref="H61">_xlfn.TEXTJOIN(", ", TRUE, IF(OR(ISNUMBER(SEARCH({"blood pressure","heart rate","anthropometrics"},I61))),"Monitoring", ""), IF(OR(ISNUMBER(SEARCH({"genetic","ecg","vo2max","spirometry","respiratory rate"},I61))),"Diagnostic", ""), IF(OR(ISNUMBER(SEARCH({"ultrasound","uv photog","facial imaging","oral","CT scan"},I61))),"Imaging", ""), IF(OR(ISNUMBER(SEARCH({"glucose","hb1ac","lipids","nutrient"},I61))),"Blood", ""))</f>
        <v/>
      </c>
      <c r="I61" s="118"/>
      <c r="J61" s="118"/>
      <c r="K61" s="118"/>
      <c r="L61" s="118"/>
      <c r="M61" s="118"/>
      <c r="N61" s="118"/>
      <c r="O61" s="118"/>
      <c r="P61" s="119"/>
      <c r="Q61" s="118"/>
      <c r="R61" s="118"/>
      <c r="S61" s="118" t="s">
        <v>329</v>
      </c>
      <c r="T61" s="118"/>
      <c r="U61" s="118"/>
      <c r="V61" s="118"/>
      <c r="W61" s="118"/>
      <c r="X61" s="118"/>
      <c r="Y61" s="118"/>
      <c r="Z61" s="115"/>
      <c r="AA61" s="118"/>
      <c r="AB61" s="118" t="s">
        <v>329</v>
      </c>
      <c r="AC61" s="118"/>
      <c r="AD61" s="118"/>
      <c r="AE61" s="118"/>
      <c r="AF61" s="118"/>
      <c r="AG61" s="6"/>
      <c r="AH61" s="6"/>
    </row>
    <row r="62" spans="1:34" s="3" customFormat="1" ht="150" customHeight="1" x14ac:dyDescent="0.25">
      <c r="A62" s="3" t="s">
        <v>519</v>
      </c>
      <c r="B62" s="3" t="s">
        <v>520</v>
      </c>
      <c r="C62" s="3">
        <v>2002</v>
      </c>
      <c r="D62" s="3" t="s">
        <v>521</v>
      </c>
      <c r="E62" s="31" t="s">
        <v>776</v>
      </c>
      <c r="F62" s="31" t="s">
        <v>522</v>
      </c>
      <c r="G62" s="31">
        <v>1</v>
      </c>
      <c r="H62" s="31" t="str" cm="1">
        <f t="array" ref="H62">_xlfn.TEXTJOIN(", ", TRUE, IF(OR(ISNUMBER(SEARCH({"blood pressure","heart rate","anthropometrics","ecg","vo2max","spirometry","respiratory rate"},I62))),"Physiological", ""), IF(OR(ISNUMBER(SEARCH({"genetic"},I62))),"Risk", ""), IF(OR(ISNUMBER(SEARCH({"ultrasound","uv photog","facial","oral","CT scan"},I62))),"Imaging", ""), IF(OR(ISNUMBER(SEARCH({"glucose","hb1ac","lipids","nutrient"},I62))),"Blood", ""),IF(OR(ISNUMBER(SEARCH({"anthropometrics"},I62))),"Anthropometry", ""))</f>
        <v>Imaging</v>
      </c>
      <c r="I62" s="31" t="s">
        <v>523</v>
      </c>
      <c r="J62" s="31" t="s">
        <v>524</v>
      </c>
      <c r="K62" s="31">
        <v>1</v>
      </c>
      <c r="L62" s="31"/>
      <c r="M62" s="31" t="s">
        <v>481</v>
      </c>
      <c r="N62" s="31">
        <v>153</v>
      </c>
      <c r="O62" s="31">
        <v>16.2</v>
      </c>
      <c r="P62" s="59">
        <f>(45.7*79+39.2*20+48.9*54)/(79+20+54)</f>
        <v>45.979738562091498</v>
      </c>
      <c r="Q62" s="31" t="s">
        <v>96</v>
      </c>
      <c r="R62" s="31" t="s">
        <v>34</v>
      </c>
      <c r="S62" s="31" t="s">
        <v>60</v>
      </c>
      <c r="T62" s="31" t="s">
        <v>525</v>
      </c>
      <c r="U62" s="31" t="s">
        <v>28</v>
      </c>
      <c r="V62" s="31" t="s">
        <v>522</v>
      </c>
      <c r="W62" s="31" t="s">
        <v>28</v>
      </c>
      <c r="X62" s="31" t="s">
        <v>526</v>
      </c>
      <c r="Y62" s="31" t="s">
        <v>34</v>
      </c>
      <c r="Z62" s="31" t="s">
        <v>341</v>
      </c>
      <c r="AA62" s="31">
        <v>2</v>
      </c>
      <c r="AB62" s="31" t="s">
        <v>39</v>
      </c>
      <c r="AC62" s="31" t="s">
        <v>65</v>
      </c>
      <c r="AD62" s="140" t="s">
        <v>176</v>
      </c>
      <c r="AE62" s="3">
        <v>1</v>
      </c>
    </row>
    <row r="63" spans="1:34" s="3" customFormat="1" ht="15" customHeight="1" x14ac:dyDescent="0.25">
      <c r="A63" s="117" t="s">
        <v>527</v>
      </c>
      <c r="B63" s="117" t="s">
        <v>767</v>
      </c>
      <c r="C63" s="117"/>
      <c r="D63" s="114"/>
      <c r="E63" s="118"/>
      <c r="F63" s="118"/>
      <c r="G63" s="118"/>
      <c r="H63" s="118" t="str" cm="1">
        <f t="array" ref="H63">_xlfn.TEXTJOIN(", ", TRUE, IF(OR(ISNUMBER(SEARCH({"blood pressure","heart rate","anthropometrics"},I63))),"Monitoring", ""), IF(OR(ISNUMBER(SEARCH({"genetic","ecg","vo2max","spirometry","respiratory rate"},I63))),"Diagnostic", ""), IF(OR(ISNUMBER(SEARCH({"ultrasound","uv photog","facial imaging","oral","CT scan"},I63))),"Imaging", ""), IF(OR(ISNUMBER(SEARCH({"glucose","hb1ac","lipids","nutrient"},I63))),"Blood", ""))</f>
        <v/>
      </c>
      <c r="I63" s="118"/>
      <c r="J63" s="118"/>
      <c r="K63" s="118"/>
      <c r="L63" s="118"/>
      <c r="M63" s="118"/>
      <c r="N63" s="118"/>
      <c r="O63" s="118"/>
      <c r="P63" s="119"/>
      <c r="Q63" s="118"/>
      <c r="R63" s="118"/>
      <c r="S63" s="118" t="s">
        <v>329</v>
      </c>
      <c r="T63" s="118"/>
      <c r="U63" s="118"/>
      <c r="V63" s="118"/>
      <c r="W63" s="118"/>
      <c r="X63" s="118"/>
      <c r="Y63" s="118"/>
      <c r="Z63" s="115"/>
      <c r="AA63" s="118"/>
      <c r="AB63" s="118" t="s">
        <v>329</v>
      </c>
      <c r="AC63" s="118"/>
      <c r="AD63" s="118"/>
      <c r="AE63" s="118"/>
      <c r="AF63" s="118"/>
      <c r="AG63" s="6"/>
      <c r="AH63" s="6"/>
    </row>
    <row r="64" spans="1:34" s="3" customFormat="1" ht="296.25" customHeight="1" x14ac:dyDescent="0.25">
      <c r="A64" s="3" t="s">
        <v>528</v>
      </c>
      <c r="B64" s="3" t="s">
        <v>529</v>
      </c>
      <c r="C64" s="3">
        <v>2006</v>
      </c>
      <c r="D64" s="3" t="s">
        <v>530</v>
      </c>
      <c r="E64" s="31" t="s">
        <v>777</v>
      </c>
      <c r="F64" s="31" t="s">
        <v>522</v>
      </c>
      <c r="G64" s="31">
        <v>1</v>
      </c>
      <c r="H64" s="31" t="str" cm="1">
        <f t="array" ref="H64">_xlfn.TEXTJOIN(", ", TRUE, IF(OR(ISNUMBER(SEARCH({"blood pressure","heart rate","anthropometrics","ecg","vo2max","spirometry","respiratory rate"},I64))),"Physiological", ""), IF(OR(ISNUMBER(SEARCH({"genetic"},I64))),"Risk", ""), IF(OR(ISNUMBER(SEARCH({"ultrasound","uv photog","facial","oral","CT scan"},I64))),"Imaging", ""), IF(OR(ISNUMBER(SEARCH({"glucose","hb1ac","lipids","nutrient"},I64))),"Blood", ""),IF(OR(ISNUMBER(SEARCH({"anthropometrics"},I64))),"Anthropometry", ""))</f>
        <v>Risk</v>
      </c>
      <c r="I64" s="31" t="s">
        <v>502</v>
      </c>
      <c r="J64" s="31" t="s">
        <v>531</v>
      </c>
      <c r="K64" s="31">
        <v>1</v>
      </c>
      <c r="L64" s="31" t="s">
        <v>32</v>
      </c>
      <c r="M64" s="31" t="s">
        <v>532</v>
      </c>
      <c r="N64" s="31">
        <v>697</v>
      </c>
      <c r="O64" s="31">
        <v>40.5</v>
      </c>
      <c r="P64" s="59">
        <v>46.5</v>
      </c>
      <c r="Q64" s="31" t="s">
        <v>34</v>
      </c>
      <c r="R64" s="31" t="s">
        <v>34</v>
      </c>
      <c r="S64" s="31" t="s">
        <v>235</v>
      </c>
      <c r="T64" s="31" t="s">
        <v>533</v>
      </c>
      <c r="U64" s="31" t="s">
        <v>28</v>
      </c>
      <c r="V64" s="31" t="s">
        <v>522</v>
      </c>
      <c r="W64" s="31" t="s">
        <v>28</v>
      </c>
      <c r="X64" s="12" t="s">
        <v>534</v>
      </c>
      <c r="Y64" s="31" t="s">
        <v>34</v>
      </c>
      <c r="Z64" s="31" t="s">
        <v>341</v>
      </c>
      <c r="AA64" s="31">
        <v>2</v>
      </c>
      <c r="AB64" s="31" t="s">
        <v>39</v>
      </c>
      <c r="AC64" s="31" t="s">
        <v>65</v>
      </c>
      <c r="AD64" s="140" t="s">
        <v>176</v>
      </c>
      <c r="AE64" s="3">
        <v>1</v>
      </c>
    </row>
    <row r="65" spans="1:34" s="3" customFormat="1" ht="409.5" customHeight="1" x14ac:dyDescent="0.25">
      <c r="A65" s="3" t="s">
        <v>535</v>
      </c>
      <c r="B65" s="8" t="s">
        <v>536</v>
      </c>
      <c r="C65" s="3">
        <v>2010</v>
      </c>
      <c r="D65" s="3" t="s">
        <v>537</v>
      </c>
      <c r="E65" s="31" t="s">
        <v>777</v>
      </c>
      <c r="F65" s="31" t="s">
        <v>522</v>
      </c>
      <c r="G65" s="31">
        <v>1</v>
      </c>
      <c r="H65" s="31" t="str" cm="1">
        <f t="array" ref="H65">_xlfn.TEXTJOIN(", ", TRUE, IF(OR(ISNUMBER(SEARCH({"blood pressure","heart rate","anthropometrics","ecg","vo2max","spirometry","respiratory rate"},I65))),"Physiological", ""), IF(OR(ISNUMBER(SEARCH({"genetic"},I65))),"Risk", ""), IF(OR(ISNUMBER(SEARCH({"ultrasound","uv photog","facial","oral","CT scan"},I65))),"Imaging", ""), IF(OR(ISNUMBER(SEARCH({"glucose","hb1ac","lipids","nutrient"},I65))),"Blood", ""),IF(OR(ISNUMBER(SEARCH({"anthropometrics"},I65))),"Anthropometry", ""))</f>
        <v>Risk</v>
      </c>
      <c r="I65" s="31" t="s">
        <v>502</v>
      </c>
      <c r="J65" s="31" t="s">
        <v>531</v>
      </c>
      <c r="K65" s="31">
        <v>1</v>
      </c>
      <c r="L65" s="31" t="s">
        <v>538</v>
      </c>
      <c r="M65" s="31" t="s">
        <v>539</v>
      </c>
      <c r="N65" s="31">
        <v>562</v>
      </c>
      <c r="O65" s="31">
        <v>6.2</v>
      </c>
      <c r="P65" s="59">
        <f>(24.5*(54+61)+34.5*(94+90)+44.5*(99+65)+54.5*(35+58)+65*(4+2))/(286+276)</f>
        <v>39.007117437722421</v>
      </c>
      <c r="Q65" s="31" t="s">
        <v>34</v>
      </c>
      <c r="R65" s="31" t="s">
        <v>34</v>
      </c>
      <c r="S65" s="31" t="s">
        <v>35</v>
      </c>
      <c r="T65" s="31" t="s">
        <v>540</v>
      </c>
      <c r="U65" s="31" t="s">
        <v>34</v>
      </c>
      <c r="V65" s="31" t="s">
        <v>541</v>
      </c>
      <c r="W65" s="31" t="s">
        <v>34</v>
      </c>
      <c r="X65" s="31" t="s">
        <v>542</v>
      </c>
      <c r="Y65" s="31" t="s">
        <v>34</v>
      </c>
      <c r="Z65" s="31" t="s">
        <v>516</v>
      </c>
      <c r="AA65" s="31">
        <v>1</v>
      </c>
      <c r="AB65" s="31" t="s">
        <v>39</v>
      </c>
      <c r="AC65" s="31" t="s">
        <v>65</v>
      </c>
      <c r="AD65" s="140" t="s">
        <v>176</v>
      </c>
      <c r="AE65" s="3">
        <v>1</v>
      </c>
    </row>
    <row r="66" spans="1:34" s="3" customFormat="1" ht="169.5" customHeight="1" x14ac:dyDescent="0.25">
      <c r="A66" s="3" t="s">
        <v>543</v>
      </c>
      <c r="B66" s="3" t="s">
        <v>544</v>
      </c>
      <c r="C66" s="3">
        <v>2002</v>
      </c>
      <c r="D66" s="3" t="s">
        <v>545</v>
      </c>
      <c r="E66" s="31" t="s">
        <v>777</v>
      </c>
      <c r="F66" s="31" t="s">
        <v>522</v>
      </c>
      <c r="G66" s="31">
        <v>1</v>
      </c>
      <c r="H66" s="31" t="str" cm="1">
        <f t="array" ref="H66">_xlfn.TEXTJOIN(", ", TRUE, IF(OR(ISNUMBER(SEARCH({"blood pressure","heart rate","anthropometrics","ecg","vo2max","spirometry","respiratory rate"},I66))),"Physiological", ""), IF(OR(ISNUMBER(SEARCH({"genetic"},I66))),"Risk", ""), IF(OR(ISNUMBER(SEARCH({"ultrasound","uv photog","facial","oral","CT scan"},I66))),"Imaging", ""), IF(OR(ISNUMBER(SEARCH({"glucose","hb1ac","lipids","nutrient"},I66))),"Blood", ""),IF(OR(ISNUMBER(SEARCH({"anthropometrics"},I66))),"Anthropometry", ""))</f>
        <v>Risk</v>
      </c>
      <c r="I66" s="31" t="s">
        <v>502</v>
      </c>
      <c r="J66" s="31" t="s">
        <v>546</v>
      </c>
      <c r="K66" s="31">
        <v>1</v>
      </c>
      <c r="L66" s="31" t="s">
        <v>46</v>
      </c>
      <c r="M66" s="31" t="s">
        <v>547</v>
      </c>
      <c r="N66" s="31">
        <v>557</v>
      </c>
      <c r="O66" s="31">
        <v>60</v>
      </c>
      <c r="P66" s="59">
        <v>44</v>
      </c>
      <c r="Q66" s="31" t="s">
        <v>34</v>
      </c>
      <c r="R66" s="31" t="s">
        <v>34</v>
      </c>
      <c r="S66" s="31" t="s">
        <v>35</v>
      </c>
      <c r="T66" s="31" t="s">
        <v>548</v>
      </c>
      <c r="U66" s="31" t="s">
        <v>28</v>
      </c>
      <c r="V66" s="31" t="s">
        <v>549</v>
      </c>
      <c r="W66" s="31" t="s">
        <v>28</v>
      </c>
      <c r="X66" s="12" t="s">
        <v>550</v>
      </c>
      <c r="Y66" s="31" t="s">
        <v>34</v>
      </c>
      <c r="Z66" s="31" t="s">
        <v>551</v>
      </c>
      <c r="AA66" s="31">
        <v>2</v>
      </c>
      <c r="AB66" s="31" t="s">
        <v>125</v>
      </c>
      <c r="AC66" s="31" t="s">
        <v>65</v>
      </c>
      <c r="AD66" s="140" t="s">
        <v>552</v>
      </c>
      <c r="AE66" s="3">
        <v>6</v>
      </c>
    </row>
    <row r="67" spans="1:34" s="3" customFormat="1" ht="15" customHeight="1" x14ac:dyDescent="0.25">
      <c r="A67" s="117" t="s">
        <v>553</v>
      </c>
      <c r="B67" s="117" t="s">
        <v>768</v>
      </c>
      <c r="C67" s="117"/>
      <c r="D67" s="114"/>
      <c r="E67" s="118"/>
      <c r="F67" s="118"/>
      <c r="G67" s="118"/>
      <c r="H67" s="118"/>
      <c r="I67" s="118"/>
      <c r="J67" s="118"/>
      <c r="K67" s="118"/>
      <c r="L67" s="118"/>
      <c r="M67" s="118"/>
      <c r="N67" s="118"/>
      <c r="O67" s="118"/>
      <c r="P67" s="119"/>
      <c r="Q67" s="118"/>
      <c r="R67" s="118"/>
      <c r="S67" s="118" t="s">
        <v>329</v>
      </c>
      <c r="T67" s="118"/>
      <c r="U67" s="118"/>
      <c r="V67" s="118"/>
      <c r="W67" s="118"/>
      <c r="X67" s="118"/>
      <c r="Y67" s="118"/>
      <c r="Z67" s="115"/>
      <c r="AA67" s="118"/>
      <c r="AB67" s="118" t="s">
        <v>329</v>
      </c>
      <c r="AC67" s="118"/>
      <c r="AD67" s="118"/>
      <c r="AE67" s="118"/>
      <c r="AF67" s="118"/>
      <c r="AG67" s="6"/>
      <c r="AH67" s="6"/>
    </row>
    <row r="68" spans="1:34" s="3" customFormat="1" ht="409.5" customHeight="1" x14ac:dyDescent="0.25">
      <c r="A68" s="3" t="s">
        <v>554</v>
      </c>
      <c r="B68" s="3" t="s">
        <v>555</v>
      </c>
      <c r="C68" s="3">
        <v>2008</v>
      </c>
      <c r="D68" s="3" t="s">
        <v>556</v>
      </c>
      <c r="E68" s="31" t="s">
        <v>776</v>
      </c>
      <c r="F68" s="31" t="s">
        <v>522</v>
      </c>
      <c r="G68" s="31">
        <v>1</v>
      </c>
      <c r="H68" s="31" t="str" cm="1">
        <f t="array" ref="H68">_xlfn.TEXTJOIN(", ", TRUE, IF(OR(ISNUMBER(SEARCH({"blood pressure","heart rate","anthropometrics","ecg","vo2max","spirometry","respiratory rate"},I68))),"Physiological", ""), IF(OR(ISNUMBER(SEARCH({"genetic"},I68))),"Risk", ""), IF(OR(ISNUMBER(SEARCH({"ultrasound","uv photog","facial","oral","CT scan"},I68))),"Imaging", ""), IF(OR(ISNUMBER(SEARCH({"glucose","hb1ac","lipids","nutrient"},I68))),"Blood", ""),IF(OR(ISNUMBER(SEARCH({"anthropometrics"},I68))),"Anthropometry", ""))</f>
        <v>Physiological</v>
      </c>
      <c r="I68" s="31" t="s">
        <v>557</v>
      </c>
      <c r="J68" s="31" t="s">
        <v>558</v>
      </c>
      <c r="K68" s="31">
        <v>1</v>
      </c>
      <c r="L68" s="31" t="s">
        <v>46</v>
      </c>
      <c r="M68" s="31" t="s">
        <v>559</v>
      </c>
      <c r="N68" s="31">
        <v>561</v>
      </c>
      <c r="O68" s="31">
        <v>54</v>
      </c>
      <c r="P68" s="59">
        <v>53</v>
      </c>
      <c r="Q68" s="31" t="s">
        <v>34</v>
      </c>
      <c r="R68" s="31" t="s">
        <v>34</v>
      </c>
      <c r="S68" s="31" t="s">
        <v>35</v>
      </c>
      <c r="T68" s="31" t="s">
        <v>560</v>
      </c>
      <c r="U68" s="31" t="s">
        <v>34</v>
      </c>
      <c r="V68" s="31" t="s">
        <v>561</v>
      </c>
      <c r="W68" s="31" t="s">
        <v>28</v>
      </c>
      <c r="X68" s="31" t="s">
        <v>562</v>
      </c>
      <c r="Y68" s="31" t="s">
        <v>34</v>
      </c>
      <c r="Z68" s="31" t="s">
        <v>516</v>
      </c>
      <c r="AA68" s="31">
        <v>1</v>
      </c>
      <c r="AB68" s="31" t="s">
        <v>39</v>
      </c>
      <c r="AC68" s="31" t="s">
        <v>65</v>
      </c>
      <c r="AD68" s="140" t="s">
        <v>563</v>
      </c>
      <c r="AE68" s="3">
        <v>2</v>
      </c>
    </row>
    <row r="69" spans="1:34" s="3" customFormat="1" ht="300" customHeight="1" x14ac:dyDescent="0.25">
      <c r="A69" s="3" t="s">
        <v>564</v>
      </c>
      <c r="B69" s="3" t="s">
        <v>565</v>
      </c>
      <c r="C69" s="3">
        <v>2010</v>
      </c>
      <c r="D69" s="3" t="s">
        <v>566</v>
      </c>
      <c r="E69" s="31" t="s">
        <v>777</v>
      </c>
      <c r="F69" s="31" t="s">
        <v>567</v>
      </c>
      <c r="G69" s="31">
        <v>1</v>
      </c>
      <c r="H69" s="31" t="str" cm="1">
        <f t="array" ref="H69">_xlfn.TEXTJOIN(", ", TRUE, IF(OR(ISNUMBER(SEARCH({"blood pressure","heart rate","anthropometrics","ecg","vo2max","spirometry","respiratory rate"},I69))),"Physiological", ""), IF(OR(ISNUMBER(SEARCH({"genetic"},I69))),"Risk", ""), IF(OR(ISNUMBER(SEARCH({"ultrasound","uv photog","facial","oral","CT scan"},I69))),"Imaging", ""), IF(OR(ISNUMBER(SEARCH({"glucose","hb1ac","lipids","nutrient"},I69))),"Blood", ""),IF(OR(ISNUMBER(SEARCH({"anthropometrics"},I69))),"Anthropometry", ""))</f>
        <v>Imaging</v>
      </c>
      <c r="I69" s="31" t="s">
        <v>568</v>
      </c>
      <c r="J69" s="31" t="s">
        <v>569</v>
      </c>
      <c r="K69" s="31">
        <v>1</v>
      </c>
      <c r="L69" s="31" t="s">
        <v>46</v>
      </c>
      <c r="M69" s="31" t="s">
        <v>570</v>
      </c>
      <c r="N69" s="31">
        <v>1284</v>
      </c>
      <c r="O69" s="31">
        <v>0</v>
      </c>
      <c r="P69" s="59">
        <v>58</v>
      </c>
      <c r="Q69" s="31" t="s">
        <v>34</v>
      </c>
      <c r="R69" s="31" t="s">
        <v>28</v>
      </c>
      <c r="S69" s="31" t="s">
        <v>571</v>
      </c>
      <c r="T69" s="31" t="s">
        <v>572</v>
      </c>
      <c r="U69" s="31" t="s">
        <v>34</v>
      </c>
      <c r="V69" s="31" t="s">
        <v>573</v>
      </c>
      <c r="W69" s="31" t="s">
        <v>34</v>
      </c>
      <c r="X69" s="31" t="s">
        <v>574</v>
      </c>
      <c r="Y69" s="31" t="s">
        <v>34</v>
      </c>
      <c r="Z69" s="31" t="s">
        <v>64</v>
      </c>
      <c r="AA69" s="31">
        <v>1</v>
      </c>
      <c r="AB69" s="31" t="s">
        <v>39</v>
      </c>
      <c r="AC69" s="31" t="s">
        <v>575</v>
      </c>
      <c r="AD69" s="57" t="s">
        <v>576</v>
      </c>
      <c r="AE69" s="3">
        <v>2</v>
      </c>
    </row>
    <row r="70" spans="1:34" s="3" customFormat="1" ht="255" customHeight="1" x14ac:dyDescent="0.25">
      <c r="A70" s="3" t="s">
        <v>577</v>
      </c>
      <c r="B70" s="3" t="s">
        <v>578</v>
      </c>
      <c r="C70" s="3">
        <v>2009</v>
      </c>
      <c r="D70" s="3" t="s">
        <v>579</v>
      </c>
      <c r="E70" s="31" t="s">
        <v>777</v>
      </c>
      <c r="F70" s="31" t="s">
        <v>522</v>
      </c>
      <c r="G70" s="31">
        <v>1</v>
      </c>
      <c r="H70" s="31" t="str" cm="1">
        <f t="array" ref="H70">_xlfn.TEXTJOIN(", ", TRUE, IF(OR(ISNUMBER(SEARCH({"blood pressure","heart rate","anthropometrics","ecg","vo2max","spirometry","respiratory rate"},I70))),"Physiological", ""), IF(OR(ISNUMBER(SEARCH({"genetic"},I70))),"Risk", ""), IF(OR(ISNUMBER(SEARCH({"ultrasound","uv photog","facial","oral","CT scan"},I70))),"Imaging", ""), IF(OR(ISNUMBER(SEARCH({"glucose","hb1ac","lipids","nutrient"},I70))),"Blood", ""),IF(OR(ISNUMBER(SEARCH({"anthropometrics"},I70))),"Anthropometry", ""))</f>
        <v>Physiological</v>
      </c>
      <c r="I70" s="31" t="s">
        <v>557</v>
      </c>
      <c r="J70" s="31" t="s">
        <v>580</v>
      </c>
      <c r="K70" s="31">
        <v>1</v>
      </c>
      <c r="L70" s="31" t="s">
        <v>46</v>
      </c>
      <c r="M70" s="31" t="s">
        <v>481</v>
      </c>
      <c r="N70" s="31">
        <v>536</v>
      </c>
      <c r="O70" s="31">
        <v>53.2</v>
      </c>
      <c r="P70" s="59">
        <v>50.9</v>
      </c>
      <c r="Q70" s="31" t="s">
        <v>34</v>
      </c>
      <c r="R70" s="31" t="s">
        <v>28</v>
      </c>
      <c r="S70" s="31" t="s">
        <v>35</v>
      </c>
      <c r="T70" s="31" t="s">
        <v>581</v>
      </c>
      <c r="U70" s="31" t="s">
        <v>28</v>
      </c>
      <c r="V70" s="31" t="s">
        <v>582</v>
      </c>
      <c r="W70" s="31" t="s">
        <v>28</v>
      </c>
      <c r="X70" s="31" t="s">
        <v>583</v>
      </c>
      <c r="Y70" s="31" t="s">
        <v>34</v>
      </c>
      <c r="Z70" s="31" t="s">
        <v>137</v>
      </c>
      <c r="AA70" s="31">
        <v>2</v>
      </c>
      <c r="AB70" s="31" t="s">
        <v>39</v>
      </c>
      <c r="AC70" s="31" t="s">
        <v>584</v>
      </c>
      <c r="AD70" s="57" t="s">
        <v>585</v>
      </c>
      <c r="AE70" s="3">
        <v>2</v>
      </c>
    </row>
    <row r="71" spans="1:34" s="81" customFormat="1" x14ac:dyDescent="0.25">
      <c r="A71" s="69"/>
      <c r="B71" s="69"/>
      <c r="C71" s="69"/>
      <c r="D71" s="69"/>
      <c r="E71" s="69"/>
      <c r="F71" s="69"/>
      <c r="G71" s="69"/>
      <c r="H71" s="69"/>
      <c r="I71" s="69"/>
      <c r="J71" s="69"/>
      <c r="K71" s="69"/>
      <c r="L71" s="69"/>
      <c r="M71" s="69"/>
      <c r="N71" s="69"/>
      <c r="O71" s="69"/>
      <c r="P71" s="70"/>
      <c r="Q71" s="69"/>
      <c r="R71" s="69"/>
      <c r="S71" s="69" t="s">
        <v>329</v>
      </c>
      <c r="T71" s="69"/>
      <c r="U71" s="69"/>
      <c r="V71" s="69"/>
      <c r="W71" s="69"/>
      <c r="X71" s="69"/>
      <c r="Y71" s="69"/>
      <c r="Z71" s="69"/>
      <c r="AA71" s="69"/>
      <c r="AB71" s="69" t="s">
        <v>329</v>
      </c>
      <c r="AC71" s="69"/>
      <c r="AD71" s="69"/>
      <c r="AE71" s="69"/>
      <c r="AF71" s="69"/>
      <c r="AG71" s="31"/>
      <c r="AH71" s="31"/>
    </row>
    <row r="72" spans="1:34" ht="15" customHeight="1" x14ac:dyDescent="0.25">
      <c r="A72" s="121" t="s">
        <v>770</v>
      </c>
      <c r="B72" s="122"/>
      <c r="C72" s="123"/>
      <c r="D72" s="123"/>
      <c r="E72" s="122"/>
      <c r="F72" s="123"/>
      <c r="G72" s="123"/>
      <c r="H72" s="123"/>
      <c r="I72" s="123"/>
      <c r="J72" s="123"/>
      <c r="K72" s="123"/>
      <c r="L72" s="123"/>
      <c r="M72" s="123"/>
      <c r="N72" s="123"/>
      <c r="O72" s="123"/>
      <c r="P72" s="124"/>
      <c r="Q72" s="123"/>
      <c r="R72" s="123"/>
      <c r="S72" s="123" t="s">
        <v>329</v>
      </c>
      <c r="T72" s="123"/>
      <c r="U72" s="123"/>
      <c r="V72" s="123"/>
      <c r="W72" s="123"/>
      <c r="X72" s="123"/>
      <c r="Y72" s="123"/>
      <c r="Z72" s="123"/>
      <c r="AA72" s="123"/>
      <c r="AB72" s="123" t="s">
        <v>329</v>
      </c>
      <c r="AC72" s="123"/>
      <c r="AD72" s="123"/>
      <c r="AE72" s="123"/>
      <c r="AF72" s="123"/>
      <c r="AG72" s="3"/>
      <c r="AH72" s="3"/>
    </row>
    <row r="73" spans="1:34" s="10" customFormat="1" ht="270.75" customHeight="1" x14ac:dyDescent="0.25">
      <c r="A73" s="108" t="s">
        <v>437</v>
      </c>
      <c r="B73" s="108" t="s">
        <v>438</v>
      </c>
      <c r="C73" s="108">
        <v>2022</v>
      </c>
      <c r="D73" s="3" t="s">
        <v>439</v>
      </c>
      <c r="E73" s="12" t="s">
        <v>776</v>
      </c>
      <c r="F73" s="12" t="s">
        <v>44</v>
      </c>
      <c r="G73" s="12">
        <v>1</v>
      </c>
      <c r="H73" s="31" t="str" cm="1">
        <f t="array" ref="H73">_xlfn.TEXTJOIN(", ", TRUE, IF(OR(ISNUMBER(SEARCH({"blood pressure","heart rate","anthropometrics","ecg","vo2max","spirometry","respiratory rate"},I73))),"Physiological", ""), IF(OR(ISNUMBER(SEARCH({"genetic"},I73))),"Risk", ""), IF(OR(ISNUMBER(SEARCH({"ultrasound","uv photog","facial","oral","CT scan"},I73))),"Imaging", ""), IF(OR(ISNUMBER(SEARCH({"glucose","hb1ac","lipids","nutrient"},I73))),"Blood", ""),IF(OR(ISNUMBER(SEARCH({"anthropometrics"},I73))),"Anthropometry", ""))</f>
        <v>Blood</v>
      </c>
      <c r="I73" s="12" t="s">
        <v>440</v>
      </c>
      <c r="J73" s="12" t="s">
        <v>441</v>
      </c>
      <c r="K73" s="12">
        <v>3</v>
      </c>
      <c r="L73" s="12" t="s">
        <v>46</v>
      </c>
      <c r="M73" s="12" t="s">
        <v>442</v>
      </c>
      <c r="N73" s="12">
        <v>40</v>
      </c>
      <c r="O73" s="62">
        <v>58</v>
      </c>
      <c r="P73" s="62">
        <v>25.5</v>
      </c>
      <c r="Q73" s="62" t="s">
        <v>34</v>
      </c>
      <c r="R73" s="62" t="s">
        <v>34</v>
      </c>
      <c r="S73" s="12" t="s">
        <v>443</v>
      </c>
      <c r="T73" s="12" t="s">
        <v>444</v>
      </c>
      <c r="U73" s="12" t="s">
        <v>28</v>
      </c>
      <c r="V73" s="12" t="s">
        <v>445</v>
      </c>
      <c r="W73" s="12" t="s">
        <v>28</v>
      </c>
      <c r="X73" s="12" t="s">
        <v>446</v>
      </c>
      <c r="Y73" s="12" t="s">
        <v>34</v>
      </c>
      <c r="Z73" s="12" t="s">
        <v>366</v>
      </c>
      <c r="AA73" s="12">
        <v>2</v>
      </c>
      <c r="AB73" s="12" t="s">
        <v>39</v>
      </c>
      <c r="AC73" s="31" t="s">
        <v>65</v>
      </c>
      <c r="AD73" s="140" t="s">
        <v>447</v>
      </c>
      <c r="AE73" s="3">
        <v>4</v>
      </c>
      <c r="AF73" s="3" t="s">
        <v>448</v>
      </c>
      <c r="AG73" s="108"/>
      <c r="AH73" s="108"/>
    </row>
    <row r="74" spans="1:34" s="3" customFormat="1" ht="225" customHeight="1" x14ac:dyDescent="0.25">
      <c r="A74" s="3" t="s">
        <v>586</v>
      </c>
      <c r="B74" s="3" t="s">
        <v>587</v>
      </c>
      <c r="C74" s="3">
        <v>2013</v>
      </c>
      <c r="D74" s="3" t="s">
        <v>588</v>
      </c>
      <c r="E74" s="31" t="s">
        <v>777</v>
      </c>
      <c r="F74" s="31" t="s">
        <v>92</v>
      </c>
      <c r="G74" s="31">
        <v>2</v>
      </c>
      <c r="H74" s="31" t="str" cm="1">
        <f t="array" ref="H74">_xlfn.TEXTJOIN(", ", TRUE, IF(OR(ISNUMBER(SEARCH({"blood pressure","heart rate","anthropometrics","ecg","vo2max","spirometry","respiratory rate"},I74))),"Physiological", ""), IF(OR(ISNUMBER(SEARCH({"genetic"},I74))),"Risk", ""), IF(OR(ISNUMBER(SEARCH({"ultrasound","uv photog","facial","oral","CT scan"},I74))),"Imaging", ""), IF(OR(ISNUMBER(SEARCH({"glucose","hb1ac","lipids","nutrient"},I74))),"Blood", ""),IF(OR(ISNUMBER(SEARCH({"anthropometrics"},I74))),"Anthropometry", ""))</f>
        <v>Risk</v>
      </c>
      <c r="I74" s="31" t="s">
        <v>502</v>
      </c>
      <c r="J74" s="31" t="s">
        <v>589</v>
      </c>
      <c r="K74" s="31">
        <v>1</v>
      </c>
      <c r="L74" s="31" t="s">
        <v>590</v>
      </c>
      <c r="M74" s="31" t="s">
        <v>591</v>
      </c>
      <c r="N74" s="31">
        <v>116</v>
      </c>
      <c r="O74" s="31">
        <v>41</v>
      </c>
      <c r="P74" s="59">
        <f>(59.6*38+56.2*44)/(38+44)</f>
        <v>57.775609756097566</v>
      </c>
      <c r="Q74" s="31" t="s">
        <v>28</v>
      </c>
      <c r="R74" s="31" t="s">
        <v>28</v>
      </c>
      <c r="S74" s="31" t="s">
        <v>212</v>
      </c>
      <c r="T74" s="31" t="s">
        <v>592</v>
      </c>
      <c r="U74" s="31" t="s">
        <v>28</v>
      </c>
      <c r="V74" s="31" t="s">
        <v>593</v>
      </c>
      <c r="W74" s="31" t="s">
        <v>28</v>
      </c>
      <c r="X74" s="31" t="s">
        <v>594</v>
      </c>
      <c r="Y74" s="31" t="s">
        <v>34</v>
      </c>
      <c r="Z74" s="31" t="s">
        <v>341</v>
      </c>
      <c r="AA74" s="31">
        <v>2</v>
      </c>
      <c r="AB74" s="31" t="s">
        <v>39</v>
      </c>
      <c r="AC74" s="31" t="s">
        <v>65</v>
      </c>
      <c r="AD74" s="57" t="s">
        <v>585</v>
      </c>
      <c r="AE74" s="3">
        <v>2</v>
      </c>
    </row>
    <row r="75" spans="1:34" s="3" customFormat="1" ht="158.25" customHeight="1" x14ac:dyDescent="0.25">
      <c r="A75" s="3" t="s">
        <v>449</v>
      </c>
      <c r="B75" s="3" t="s">
        <v>450</v>
      </c>
      <c r="C75" s="3">
        <v>2013</v>
      </c>
      <c r="D75" s="3" t="s">
        <v>451</v>
      </c>
      <c r="E75" s="31" t="s">
        <v>278</v>
      </c>
      <c r="F75" s="31" t="s">
        <v>452</v>
      </c>
      <c r="G75" s="31">
        <v>4</v>
      </c>
      <c r="H75" s="31" t="str" cm="1">
        <f t="array" ref="H75">_xlfn.TEXTJOIN(", ", TRUE, IF(OR(ISNUMBER(SEARCH({"blood pressure","heart rate","anthropometrics","ecg","vo2max","spirometry","respiratory rate"},I75))),"Physiological", ""), IF(OR(ISNUMBER(SEARCH({"genetic"},I75))),"Risk", ""), IF(OR(ISNUMBER(SEARCH({"ultrasound","uv photog","facial","oral","CT scan"},I75))),"Imaging", ""), IF(OR(ISNUMBER(SEARCH({"glucose","hb1ac","lipids","nutrient"},I75))),"Blood", ""),IF(OR(ISNUMBER(SEARCH({"anthropometrics"},I75))),"Anthropometry", ""))</f>
        <v>Physiological, Risk, Anthropometry</v>
      </c>
      <c r="I75" s="31" t="s">
        <v>453</v>
      </c>
      <c r="J75" s="31" t="s">
        <v>454</v>
      </c>
      <c r="K75" s="31">
        <v>4</v>
      </c>
      <c r="L75" s="63" t="s">
        <v>455</v>
      </c>
      <c r="M75" s="63" t="s">
        <v>456</v>
      </c>
      <c r="N75" s="63">
        <v>367</v>
      </c>
      <c r="O75" s="63">
        <v>52</v>
      </c>
      <c r="P75" s="64">
        <v>53.8</v>
      </c>
      <c r="Q75" s="63" t="s">
        <v>28</v>
      </c>
      <c r="R75" s="63" t="s">
        <v>28</v>
      </c>
      <c r="S75" s="31" t="s">
        <v>60</v>
      </c>
      <c r="T75" s="31" t="s">
        <v>457</v>
      </c>
      <c r="U75" s="31" t="s">
        <v>34</v>
      </c>
      <c r="V75" s="31" t="s">
        <v>458</v>
      </c>
      <c r="W75" s="31" t="s">
        <v>28</v>
      </c>
      <c r="X75" s="31" t="s">
        <v>459</v>
      </c>
      <c r="Y75" s="31" t="s">
        <v>34</v>
      </c>
      <c r="Z75" s="31" t="s">
        <v>366</v>
      </c>
      <c r="AA75" s="31">
        <v>2</v>
      </c>
      <c r="AB75" s="31" t="s">
        <v>39</v>
      </c>
      <c r="AC75" s="31" t="s">
        <v>757</v>
      </c>
      <c r="AD75" s="140" t="s">
        <v>460</v>
      </c>
      <c r="AE75" s="3">
        <v>5</v>
      </c>
      <c r="AF75" s="3" t="s">
        <v>67</v>
      </c>
    </row>
  </sheetData>
  <autoFilter ref="A9:AF75" xr:uid="{E8683FAE-0548-4BD8-9374-AFA4D9013676}"/>
  <conditionalFormatting sqref="E10:E75">
    <cfRule type="beginsWith" dxfId="2" priority="1" stopIfTrue="1" operator="beginsWith" text="All groups improved">
      <formula>LEFT(E10,LEN("All groups improved"))="All groups improved"</formula>
    </cfRule>
    <cfRule type="beginsWith" dxfId="1" priority="3" stopIfTrue="1" operator="beginsWith" text="Not effective">
      <formula>LEFT(E10,LEN("Not effective"))="Not effective"</formula>
    </cfRule>
    <cfRule type="beginsWith" dxfId="0" priority="4" stopIfTrue="1" operator="beginsWith" text="Effective">
      <formula>LEFT(E10,LEN("Effective"))="Effective"</formula>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52D3-61AD-472C-B2BF-937A1CF2804F}">
  <sheetPr>
    <tabColor rgb="FFFFC000"/>
  </sheetPr>
  <dimension ref="A1:T143"/>
  <sheetViews>
    <sheetView zoomScaleNormal="100" workbookViewId="0">
      <pane ySplit="7" topLeftCell="A8" activePane="bottomLeft" state="frozen"/>
      <selection pane="bottomLeft" activeCell="L26" sqref="L26"/>
    </sheetView>
  </sheetViews>
  <sheetFormatPr defaultRowHeight="15" customHeight="1" x14ac:dyDescent="0.25"/>
  <cols>
    <col min="1" max="1" width="28.5703125" customWidth="1"/>
    <col min="2" max="4" width="10.7109375" style="20" customWidth="1"/>
    <col min="5" max="5" width="10.7109375" style="25" customWidth="1"/>
    <col min="6" max="6" width="7.140625" customWidth="1"/>
    <col min="7" max="7" width="28.5703125" customWidth="1"/>
    <col min="8" max="10" width="10.7109375" style="22" customWidth="1"/>
    <col min="11" max="11" width="7.140625" customWidth="1"/>
    <col min="12" max="12" width="28.5703125" customWidth="1"/>
    <col min="13" max="15" width="10.7109375" style="20" customWidth="1"/>
    <col min="16" max="16" width="7.140625" style="20" customWidth="1"/>
    <col min="17" max="17" width="28.5703125" customWidth="1"/>
    <col min="18" max="20" width="10.7109375" style="20" customWidth="1"/>
  </cols>
  <sheetData>
    <row r="1" spans="1:20" s="1" customFormat="1" ht="18.75" x14ac:dyDescent="0.3">
      <c r="A1" s="73" t="s">
        <v>774</v>
      </c>
      <c r="B1"/>
      <c r="C1" s="72"/>
      <c r="D1" s="72"/>
      <c r="E1" s="20"/>
      <c r="F1" s="20"/>
      <c r="G1" s="20"/>
      <c r="H1" s="20"/>
      <c r="I1" s="20"/>
    </row>
    <row r="2" spans="1:20" ht="15" customHeight="1" x14ac:dyDescent="0.25">
      <c r="A2" t="s">
        <v>595</v>
      </c>
      <c r="B2"/>
      <c r="C2" s="72"/>
      <c r="D2" s="72"/>
      <c r="E2" s="20"/>
      <c r="F2" s="20"/>
      <c r="G2" s="20"/>
      <c r="H2" s="20"/>
      <c r="I2" s="20"/>
      <c r="J2"/>
      <c r="M2"/>
      <c r="N2"/>
      <c r="O2"/>
      <c r="P2"/>
      <c r="R2"/>
      <c r="S2"/>
      <c r="T2"/>
    </row>
    <row r="3" spans="1:20" ht="15" customHeight="1" x14ac:dyDescent="0.25">
      <c r="A3" t="s">
        <v>596</v>
      </c>
      <c r="B3"/>
      <c r="C3" s="72"/>
      <c r="D3" s="72"/>
      <c r="E3" s="20"/>
      <c r="F3" s="20"/>
      <c r="G3" s="20"/>
      <c r="H3" s="20"/>
      <c r="I3" s="20"/>
      <c r="J3"/>
      <c r="M3"/>
      <c r="N3"/>
      <c r="O3"/>
      <c r="P3"/>
      <c r="R3"/>
      <c r="S3"/>
      <c r="T3"/>
    </row>
    <row r="4" spans="1:20" s="1" customFormat="1" ht="15" customHeight="1" x14ac:dyDescent="0.25">
      <c r="A4" s="74" t="s">
        <v>597</v>
      </c>
      <c r="B4"/>
      <c r="C4" s="72"/>
      <c r="D4" s="72"/>
      <c r="E4" s="20"/>
      <c r="F4" s="20"/>
      <c r="G4" s="20"/>
      <c r="H4" s="20"/>
      <c r="I4" s="20"/>
    </row>
    <row r="5" spans="1:20" s="1" customFormat="1" ht="15" customHeight="1" x14ac:dyDescent="0.25"/>
    <row r="6" spans="1:20" ht="30" x14ac:dyDescent="0.25">
      <c r="A6" s="11"/>
      <c r="B6" s="54" t="s">
        <v>776</v>
      </c>
      <c r="C6" s="55" t="s">
        <v>777</v>
      </c>
      <c r="D6" s="55" t="s">
        <v>278</v>
      </c>
      <c r="E6" s="25" t="s">
        <v>598</v>
      </c>
      <c r="H6" s="54" t="s">
        <v>776</v>
      </c>
      <c r="I6" s="55" t="s">
        <v>777</v>
      </c>
      <c r="J6" s="56" t="s">
        <v>278</v>
      </c>
      <c r="M6" s="54" t="s">
        <v>776</v>
      </c>
      <c r="N6" s="55" t="s">
        <v>777</v>
      </c>
      <c r="O6" s="55" t="s">
        <v>278</v>
      </c>
      <c r="R6" s="54" t="s">
        <v>776</v>
      </c>
      <c r="S6" s="55" t="s">
        <v>777</v>
      </c>
      <c r="T6" s="55" t="s">
        <v>278</v>
      </c>
    </row>
    <row r="7" spans="1:20" s="11" customFormat="1" x14ac:dyDescent="0.25">
      <c r="A7" s="15" t="s">
        <v>599</v>
      </c>
      <c r="B7" s="19">
        <f>COUNTIFS('S1 - Interventions'!$E:$E,B$6)</f>
        <v>24</v>
      </c>
      <c r="C7" s="19">
        <f>COUNTIFS('S1 - Interventions'!$E:$E,C$6)</f>
        <v>23</v>
      </c>
      <c r="D7" s="19">
        <f>COUNTIFS('S1 - Interventions'!$E:$E,D$6)</f>
        <v>6</v>
      </c>
      <c r="E7" s="36">
        <f>SUM(B7:D7)</f>
        <v>53</v>
      </c>
      <c r="F7" s="40"/>
      <c r="G7" s="15" t="s">
        <v>600</v>
      </c>
      <c r="H7" s="105"/>
      <c r="I7" s="105"/>
      <c r="J7" s="105"/>
      <c r="L7" s="15" t="s">
        <v>599</v>
      </c>
      <c r="M7" s="19">
        <f>COUNTIFS('S1 - Interventions'!$E:$E,M$6)</f>
        <v>24</v>
      </c>
      <c r="N7" s="19">
        <f>COUNTIFS('S1 - Interventions'!$E:$E,N$6)</f>
        <v>23</v>
      </c>
      <c r="O7" s="19">
        <f>COUNTIFS('S1 - Interventions'!$E:$E,O$6)</f>
        <v>6</v>
      </c>
      <c r="P7" s="40"/>
      <c r="Q7" s="15" t="s">
        <v>600</v>
      </c>
      <c r="R7" s="105"/>
      <c r="S7" s="105"/>
      <c r="T7" s="105"/>
    </row>
    <row r="8" spans="1:20" ht="15" customHeight="1" x14ac:dyDescent="0.25">
      <c r="A8" s="15" t="s">
        <v>601</v>
      </c>
      <c r="B8" s="33"/>
      <c r="C8" s="33"/>
      <c r="D8" s="33"/>
      <c r="E8" s="40"/>
      <c r="F8" s="40"/>
      <c r="G8" s="15" t="s">
        <v>601</v>
      </c>
      <c r="H8" s="33"/>
      <c r="I8" s="33"/>
      <c r="J8" s="33"/>
    </row>
    <row r="9" spans="1:20" ht="15" customHeight="1" x14ac:dyDescent="0.25">
      <c r="A9" t="s">
        <v>28</v>
      </c>
      <c r="B9" s="20">
        <f>COUNTIFS('S1 - Interventions'!$E:$E,B$6,'S1 - Interventions'!$W:$W,"*Yes*")</f>
        <v>20</v>
      </c>
      <c r="C9" s="20">
        <f>COUNTIFS('S1 - Interventions'!$E:$E,C$6,'S1 - Interventions'!$W:$W,"*Yes*")</f>
        <v>13</v>
      </c>
      <c r="D9" s="20">
        <f>COUNTIFS('S1 - Interventions'!$E:$E,D$6,'S1 - Interventions'!$W:$W,"*Yes*")</f>
        <v>6</v>
      </c>
      <c r="E9" s="25">
        <f>SUM(B9:D9)</f>
        <v>39</v>
      </c>
      <c r="G9" t="s">
        <v>28</v>
      </c>
      <c r="H9" s="22">
        <f t="shared" ref="H9:J10" si="0">B9/B$7</f>
        <v>0.83333333333333337</v>
      </c>
      <c r="I9" s="22">
        <f t="shared" si="0"/>
        <v>0.56521739130434778</v>
      </c>
      <c r="J9" s="22">
        <f t="shared" si="0"/>
        <v>1</v>
      </c>
    </row>
    <row r="10" spans="1:20" ht="15" customHeight="1" x14ac:dyDescent="0.25">
      <c r="A10" t="s">
        <v>34</v>
      </c>
      <c r="B10" s="20">
        <f>COUNTIFS('S1 - Interventions'!$E:$E,B$6,'S1 - Interventions'!$W:$W,"*No*")</f>
        <v>4</v>
      </c>
      <c r="C10" s="20">
        <f>COUNTIFS('S1 - Interventions'!$E:$E,C$6,'S1 - Interventions'!$W:$W,"*No*")</f>
        <v>10</v>
      </c>
      <c r="D10" s="20">
        <f>COUNTIFS('S1 - Interventions'!$E:$E,D$6,'S1 - Interventions'!$W:$W,"*No*")</f>
        <v>0</v>
      </c>
      <c r="E10" s="25">
        <f>SUM(B10:D10)</f>
        <v>14</v>
      </c>
      <c r="G10" t="s">
        <v>34</v>
      </c>
      <c r="H10" s="22">
        <f t="shared" si="0"/>
        <v>0.16666666666666666</v>
      </c>
      <c r="I10" s="22">
        <f t="shared" si="0"/>
        <v>0.43478260869565216</v>
      </c>
      <c r="J10" s="22">
        <f t="shared" si="0"/>
        <v>0</v>
      </c>
    </row>
    <row r="11" spans="1:20" x14ac:dyDescent="0.25">
      <c r="A11" s="15" t="s">
        <v>602</v>
      </c>
      <c r="B11" s="28" t="s">
        <v>603</v>
      </c>
      <c r="C11" s="37"/>
      <c r="D11" s="37"/>
      <c r="E11" s="37"/>
      <c r="F11" s="40"/>
      <c r="G11" s="15" t="s">
        <v>602</v>
      </c>
      <c r="H11" s="35"/>
      <c r="I11" s="35"/>
      <c r="J11" s="35"/>
    </row>
    <row r="12" spans="1:20" x14ac:dyDescent="0.25">
      <c r="A12" s="38" t="s">
        <v>44</v>
      </c>
      <c r="B12" s="20">
        <f>COUNTIFS('S1 - Interventions'!$E:$E,B$6,'S1 - Interventions'!$F:$F,"*Diet*")</f>
        <v>13</v>
      </c>
      <c r="C12" s="20">
        <f>COUNTIFS('S1 - Interventions'!$E:$E,C$6,'S1 - Interventions'!$F:$F,"*Diet*")</f>
        <v>9</v>
      </c>
      <c r="D12" s="20">
        <f>COUNTIFS('S1 - Interventions'!$E:$E,D$6,'S1 - Interventions'!$F:$F,"*Diet*")</f>
        <v>6</v>
      </c>
      <c r="E12" s="25">
        <f t="shared" ref="E12:E19" si="1">SUM(B12:D12)</f>
        <v>28</v>
      </c>
      <c r="G12" s="38" t="s">
        <v>604</v>
      </c>
      <c r="H12" s="22">
        <f t="shared" ref="H12:J19" si="2">B12/B$7</f>
        <v>0.54166666666666663</v>
      </c>
      <c r="I12" s="22">
        <f t="shared" si="2"/>
        <v>0.39130434782608697</v>
      </c>
      <c r="J12" s="22">
        <f t="shared" si="2"/>
        <v>1</v>
      </c>
    </row>
    <row r="13" spans="1:20" x14ac:dyDescent="0.25">
      <c r="A13" s="6" t="s">
        <v>605</v>
      </c>
      <c r="B13" s="20">
        <f>COUNTIFS('S1 - Interventions'!$E:$E,B$6,'S1 - Interventions'!$F:$F,"*Physical activity*")</f>
        <v>6</v>
      </c>
      <c r="C13" s="20">
        <f>COUNTIFS('S1 - Interventions'!$E:$E,C$6,'S1 - Interventions'!$F:$F,"*Physical activity*")</f>
        <v>12</v>
      </c>
      <c r="D13" s="20">
        <f>COUNTIFS('S1 - Interventions'!$E:$E,D$6,'S1 - Interventions'!$F:$F,"*Physical activity*")</f>
        <v>5</v>
      </c>
      <c r="E13" s="25">
        <f t="shared" si="1"/>
        <v>23</v>
      </c>
      <c r="G13" s="6" t="s">
        <v>605</v>
      </c>
      <c r="H13" s="22">
        <f t="shared" si="2"/>
        <v>0.25</v>
      </c>
      <c r="I13" s="22">
        <f t="shared" si="2"/>
        <v>0.52173913043478259</v>
      </c>
      <c r="J13" s="22">
        <f t="shared" si="2"/>
        <v>0.83333333333333337</v>
      </c>
    </row>
    <row r="14" spans="1:20" x14ac:dyDescent="0.25">
      <c r="A14" s="6" t="s">
        <v>567</v>
      </c>
      <c r="B14" s="20">
        <f>COUNTIFS('S1 - Interventions'!$E:$E,B$6,'S1 - Interventions'!$F:$F,"*Smoking cessation*")</f>
        <v>3</v>
      </c>
      <c r="C14" s="20">
        <f>COUNTIFS('S1 - Interventions'!$E:$E,C$6,'S1 - Interventions'!$F:$F,"*Smoking cessation*")</f>
        <v>9</v>
      </c>
      <c r="D14" s="20">
        <f>COUNTIFS('S1 - Interventions'!$E:$E,D$6,'S1 - Interventions'!$F:$F,"*Smoking cessation*")</f>
        <v>1</v>
      </c>
      <c r="E14" s="25">
        <f t="shared" si="1"/>
        <v>13</v>
      </c>
      <c r="G14" s="6" t="s">
        <v>567</v>
      </c>
      <c r="H14" s="22">
        <f t="shared" si="2"/>
        <v>0.125</v>
      </c>
      <c r="I14" s="22">
        <f t="shared" si="2"/>
        <v>0.39130434782608697</v>
      </c>
      <c r="J14" s="22">
        <f t="shared" si="2"/>
        <v>0.16666666666666666</v>
      </c>
    </row>
    <row r="15" spans="1:20" x14ac:dyDescent="0.25">
      <c r="A15" s="6" t="s">
        <v>606</v>
      </c>
      <c r="B15" s="20">
        <f>COUNTIFS('S1 - Interventions'!$E:$E,B$6,'S1 - Interventions'!$F:$F,"*Sun protection*")+COUNTIFS('S1 - Interventions'!$E:$E,B$6,'S1 - Interventions'!$F:$F,"*Tanning*")</f>
        <v>6</v>
      </c>
      <c r="C15" s="20">
        <f>COUNTIFS('S1 - Interventions'!$E:$E,C$6,'S1 - Interventions'!$F:$F,"*Sun protection*")+COUNTIFS('S1 - Interventions'!$E:$E,C$6,'S1 - Interventions'!$F:$F,"*Tanning*")</f>
        <v>1</v>
      </c>
      <c r="D15" s="20">
        <f>COUNTIFS('S1 - Interventions'!$E:$E,D$6,'S1 - Interventions'!$F:$F,"*Sun protection*")+COUNTIFS('S1 - Interventions'!$E:$E,D$6,'S1 - Interventions'!$F:$F,"*Tanning*")</f>
        <v>0</v>
      </c>
      <c r="E15" s="25">
        <f t="shared" si="1"/>
        <v>7</v>
      </c>
      <c r="G15" s="6" t="s">
        <v>606</v>
      </c>
      <c r="H15" s="22">
        <f t="shared" si="2"/>
        <v>0.25</v>
      </c>
      <c r="I15" s="22">
        <f t="shared" si="2"/>
        <v>4.3478260869565216E-2</v>
      </c>
      <c r="J15" s="22">
        <f t="shared" si="2"/>
        <v>0</v>
      </c>
    </row>
    <row r="16" spans="1:20" x14ac:dyDescent="0.25">
      <c r="A16" s="6" t="s">
        <v>607</v>
      </c>
      <c r="B16" s="20">
        <f>COUNTIFS('S1 - Interventions'!$E:$E,B$6,'S1 - Interventions'!$F:$F,"*oral*")</f>
        <v>2</v>
      </c>
      <c r="C16" s="20">
        <f>COUNTIFS('S1 - Interventions'!$E:$E,C$6,'S1 - Interventions'!$F:$F,"*oral*")</f>
        <v>1</v>
      </c>
      <c r="D16" s="20">
        <f>COUNTIFS('S1 - Interventions'!$E:$E,D$6,'S1 - Interventions'!$F:$F,"*oral*")</f>
        <v>0</v>
      </c>
      <c r="E16" s="25">
        <f t="shared" si="1"/>
        <v>3</v>
      </c>
      <c r="G16" s="6" t="s">
        <v>607</v>
      </c>
      <c r="H16" s="22">
        <f t="shared" si="2"/>
        <v>8.3333333333333329E-2</v>
      </c>
      <c r="I16" s="22">
        <f t="shared" si="2"/>
        <v>4.3478260869565216E-2</v>
      </c>
      <c r="J16" s="22">
        <f t="shared" si="2"/>
        <v>0</v>
      </c>
    </row>
    <row r="17" spans="1:20" x14ac:dyDescent="0.25">
      <c r="A17" s="6" t="s">
        <v>608</v>
      </c>
      <c r="B17" s="20">
        <f>COUNTIFS('S1 - Interventions'!$E:$E,B$6,'S1 - Interventions'!$F:$F,"*stress*")</f>
        <v>2</v>
      </c>
      <c r="C17" s="20">
        <f>COUNTIFS('S1 - Interventions'!$E:$E,C$6,'S1 - Interventions'!$F:$F,"*stress*")</f>
        <v>1</v>
      </c>
      <c r="D17" s="20">
        <f>COUNTIFS('S1 - Interventions'!$E:$E,D$6,'S1 - Interventions'!$F:$F,"*stress*")</f>
        <v>0</v>
      </c>
      <c r="E17" s="25">
        <f t="shared" si="1"/>
        <v>3</v>
      </c>
      <c r="G17" s="6" t="s">
        <v>608</v>
      </c>
      <c r="H17" s="22">
        <f t="shared" si="2"/>
        <v>8.3333333333333329E-2</v>
      </c>
      <c r="I17" s="22">
        <f t="shared" si="2"/>
        <v>4.3478260869565216E-2</v>
      </c>
      <c r="J17" s="22">
        <f t="shared" si="2"/>
        <v>0</v>
      </c>
    </row>
    <row r="18" spans="1:20" x14ac:dyDescent="0.25">
      <c r="A18" s="6" t="s">
        <v>609</v>
      </c>
      <c r="B18" s="20">
        <f>COUNTIFS('S1 - Interventions'!$E:$E,B$6,'S1 - Interventions'!$F:$F,"*alcohol*")</f>
        <v>1</v>
      </c>
      <c r="C18" s="20">
        <f>COUNTIFS('S1 - Interventions'!$E:$E,C$6,'S1 - Interventions'!$F:$F,"*alcohol*")</f>
        <v>1</v>
      </c>
      <c r="D18" s="20">
        <f>COUNTIFS('S1 - Interventions'!$E:$E,D$6,'S1 - Interventions'!$F:$F,"*alcohol*")</f>
        <v>1</v>
      </c>
      <c r="E18" s="25">
        <f t="shared" si="1"/>
        <v>3</v>
      </c>
      <c r="G18" s="6" t="s">
        <v>610</v>
      </c>
      <c r="H18" s="22">
        <f t="shared" si="2"/>
        <v>4.1666666666666664E-2</v>
      </c>
      <c r="I18" s="22">
        <f t="shared" si="2"/>
        <v>4.3478260869565216E-2</v>
      </c>
      <c r="J18" s="22">
        <f t="shared" si="2"/>
        <v>0.16666666666666666</v>
      </c>
    </row>
    <row r="19" spans="1:20" x14ac:dyDescent="0.25">
      <c r="A19" s="6" t="s">
        <v>611</v>
      </c>
      <c r="B19" s="20">
        <f>COUNTIFS('S1 - Interventions'!$E:$E,B$6,'S1 - Interventions'!$F:$F,"*medication*")</f>
        <v>1</v>
      </c>
      <c r="C19" s="20">
        <f>COUNTIFS('S1 - Interventions'!$E:$E,C$6,'S1 - Interventions'!$F:$F,"*medication*")</f>
        <v>3</v>
      </c>
      <c r="D19" s="20">
        <f>COUNTIFS('S1 - Interventions'!$E:$E,D$6,'S1 - Interventions'!$F:$F,"*medication*")</f>
        <v>1</v>
      </c>
      <c r="E19" s="25">
        <f t="shared" si="1"/>
        <v>5</v>
      </c>
      <c r="G19" s="6" t="s">
        <v>611</v>
      </c>
      <c r="H19" s="22">
        <f t="shared" si="2"/>
        <v>4.1666666666666664E-2</v>
      </c>
      <c r="I19" s="22">
        <f t="shared" si="2"/>
        <v>0.13043478260869565</v>
      </c>
      <c r="J19" s="22">
        <f t="shared" si="2"/>
        <v>0.16666666666666666</v>
      </c>
    </row>
    <row r="20" spans="1:20" x14ac:dyDescent="0.25">
      <c r="A20" s="39" t="s">
        <v>612</v>
      </c>
      <c r="B20" s="33"/>
      <c r="C20" s="33"/>
      <c r="D20" s="33"/>
      <c r="E20" s="40"/>
      <c r="F20" s="40"/>
      <c r="G20" s="39" t="s">
        <v>612</v>
      </c>
      <c r="H20" s="35"/>
      <c r="I20" s="35"/>
      <c r="J20" s="35"/>
      <c r="L20" s="15" t="s">
        <v>613</v>
      </c>
      <c r="M20" s="19"/>
      <c r="N20" s="19"/>
      <c r="O20" s="19"/>
      <c r="P20" s="19"/>
      <c r="Q20" s="15" t="s">
        <v>613</v>
      </c>
      <c r="R20" s="21"/>
      <c r="S20" s="21"/>
      <c r="T20" s="21"/>
    </row>
    <row r="21" spans="1:20" x14ac:dyDescent="0.25">
      <c r="A21" s="6" t="s">
        <v>614</v>
      </c>
      <c r="B21" s="20">
        <f>COUNTIFS('S1 - Interventions'!$E:$E,B$6,'S1 - Interventions'!$G:$G,"1")</f>
        <v>17</v>
      </c>
      <c r="C21" s="20">
        <f>COUNTIFS('S1 - Interventions'!$E:$E,C$6,'S1 - Interventions'!$G:$G,"1")</f>
        <v>16</v>
      </c>
      <c r="D21" s="20">
        <f>COUNTIFS('S1 - Interventions'!$E:$E,D$6,'S1 - Interventions'!$G:$G,"1")</f>
        <v>1</v>
      </c>
      <c r="E21" s="25">
        <f>SUM(B21:D21)</f>
        <v>34</v>
      </c>
      <c r="G21" s="6" t="s">
        <v>614</v>
      </c>
      <c r="H21" s="22">
        <f t="shared" ref="H21:J24" si="3">B21/B$7</f>
        <v>0.70833333333333337</v>
      </c>
      <c r="I21" s="22">
        <f t="shared" si="3"/>
        <v>0.69565217391304346</v>
      </c>
      <c r="J21" s="22">
        <f t="shared" si="3"/>
        <v>0.16666666666666666</v>
      </c>
      <c r="L21" s="6" t="s">
        <v>614</v>
      </c>
      <c r="M21" s="20">
        <f>COUNTIFS('S1 - Interventions'!$E:$E,M$6,'S1 - Interventions'!$G:$G,"1")</f>
        <v>17</v>
      </c>
      <c r="N21" s="20">
        <f>COUNTIFS('S1 - Interventions'!$E:$E,N$6,'S1 - Interventions'!$G:$G,"1")</f>
        <v>16</v>
      </c>
      <c r="O21" s="20">
        <f>COUNTIFS('S1 - Interventions'!$E:$E,O$6,'S1 - Interventions'!$G:$G,"1")</f>
        <v>1</v>
      </c>
      <c r="P21" s="25"/>
      <c r="Q21" s="6" t="s">
        <v>614</v>
      </c>
      <c r="R21" s="22">
        <f t="shared" ref="R21:T22" si="4">M21/B$7</f>
        <v>0.70833333333333337</v>
      </c>
      <c r="S21" s="22">
        <f t="shared" si="4"/>
        <v>0.69565217391304346</v>
      </c>
      <c r="T21" s="22">
        <f t="shared" si="4"/>
        <v>0.16666666666666666</v>
      </c>
    </row>
    <row r="22" spans="1:20" x14ac:dyDescent="0.25">
      <c r="A22" s="6" t="s">
        <v>615</v>
      </c>
      <c r="B22" s="20">
        <f>COUNTIFS('S1 - Interventions'!$E:$E,B$6,'S1 - Interventions'!$G:$G,"2")</f>
        <v>4</v>
      </c>
      <c r="C22" s="20">
        <f>COUNTIFS('S1 - Interventions'!$E:$E,C$6,'S1 - Interventions'!$G:$G,"2")</f>
        <v>3</v>
      </c>
      <c r="D22" s="20">
        <f>COUNTIFS('S1 - Interventions'!$E:$E,D$6,'S1 - Interventions'!$G:$G,"2")</f>
        <v>2</v>
      </c>
      <c r="E22" s="25">
        <f>SUM(B22:D22)</f>
        <v>9</v>
      </c>
      <c r="G22" s="6" t="s">
        <v>615</v>
      </c>
      <c r="H22" s="22">
        <f t="shared" si="3"/>
        <v>0.16666666666666666</v>
      </c>
      <c r="I22" s="22">
        <f t="shared" si="3"/>
        <v>0.13043478260869565</v>
      </c>
      <c r="J22" s="22">
        <f t="shared" si="3"/>
        <v>0.33333333333333331</v>
      </c>
      <c r="L22" s="6" t="s">
        <v>616</v>
      </c>
      <c r="M22" s="20">
        <f>SUM(B22:B24)</f>
        <v>7</v>
      </c>
      <c r="N22" s="20">
        <f t="shared" ref="N22" si="5">SUM(C22:C24)</f>
        <v>7</v>
      </c>
      <c r="O22" s="20">
        <f>SUM(D22:D24)</f>
        <v>5</v>
      </c>
      <c r="P22" s="25"/>
      <c r="Q22" s="6" t="s">
        <v>616</v>
      </c>
      <c r="R22" s="22">
        <f t="shared" si="4"/>
        <v>0.29166666666666669</v>
      </c>
      <c r="S22" s="22">
        <f t="shared" si="4"/>
        <v>0.30434782608695654</v>
      </c>
      <c r="T22" s="22">
        <f t="shared" si="4"/>
        <v>0.83333333333333337</v>
      </c>
    </row>
    <row r="23" spans="1:20" x14ac:dyDescent="0.25">
      <c r="A23" s="6" t="s">
        <v>617</v>
      </c>
      <c r="B23" s="20">
        <f>COUNTIFS('S1 - Interventions'!$E:$E,B$6,'S1 - Interventions'!$G:$G,"3")</f>
        <v>2</v>
      </c>
      <c r="C23" s="20">
        <f>COUNTIFS('S1 - Interventions'!$E:$E,C$6,'S1 - Interventions'!$G:$G,"3")</f>
        <v>1</v>
      </c>
      <c r="D23" s="20">
        <f>COUNTIFS('S1 - Interventions'!$E:$E,D$6,'S1 - Interventions'!$G:$G,"3")</f>
        <v>1</v>
      </c>
      <c r="E23" s="25">
        <f>SUM(B23:D23)</f>
        <v>4</v>
      </c>
      <c r="G23" s="6" t="s">
        <v>617</v>
      </c>
      <c r="H23" s="22">
        <f t="shared" si="3"/>
        <v>8.3333333333333329E-2</v>
      </c>
      <c r="I23" s="22">
        <f t="shared" si="3"/>
        <v>4.3478260869565216E-2</v>
      </c>
      <c r="J23" s="22">
        <f t="shared" si="3"/>
        <v>0.16666666666666666</v>
      </c>
      <c r="L23" s="6"/>
      <c r="P23" s="25"/>
    </row>
    <row r="24" spans="1:20" x14ac:dyDescent="0.25">
      <c r="A24" s="6" t="s">
        <v>618</v>
      </c>
      <c r="B24" s="20">
        <f>COUNTIFS('S1 - Interventions'!$E:$E,B$6,'S1 - Interventions'!$G:$G,"4")</f>
        <v>1</v>
      </c>
      <c r="C24" s="20">
        <f>COUNTIFS('S1 - Interventions'!$E:$E,C$6,'S1 - Interventions'!$G:$G,"4")</f>
        <v>3</v>
      </c>
      <c r="D24" s="20">
        <f>COUNTIFS('S1 - Interventions'!$E:$E,D$6,'S1 - Interventions'!$G:$G,"4")</f>
        <v>2</v>
      </c>
      <c r="E24" s="25">
        <f>SUM(B24:D24)</f>
        <v>6</v>
      </c>
      <c r="G24" s="6" t="s">
        <v>618</v>
      </c>
      <c r="H24" s="22">
        <f t="shared" si="3"/>
        <v>4.1666666666666664E-2</v>
      </c>
      <c r="I24" s="22">
        <f t="shared" si="3"/>
        <v>0.13043478260869565</v>
      </c>
      <c r="J24" s="22">
        <f t="shared" si="3"/>
        <v>0.33333333333333331</v>
      </c>
      <c r="L24" s="6"/>
      <c r="P24" s="25"/>
    </row>
    <row r="25" spans="1:20" x14ac:dyDescent="0.25">
      <c r="A25" s="6"/>
      <c r="G25" s="6"/>
      <c r="L25" s="6"/>
      <c r="P25" s="25"/>
    </row>
    <row r="26" spans="1:20" x14ac:dyDescent="0.25">
      <c r="A26" s="15" t="s">
        <v>783</v>
      </c>
      <c r="B26" s="33"/>
      <c r="C26" s="33"/>
      <c r="D26" s="33"/>
      <c r="E26" s="40"/>
      <c r="F26" s="40"/>
      <c r="G26" s="15" t="s">
        <v>783</v>
      </c>
      <c r="H26" s="35"/>
      <c r="I26" s="35"/>
      <c r="J26" s="35"/>
      <c r="L26" s="15" t="s">
        <v>786</v>
      </c>
      <c r="M26" s="19"/>
      <c r="N26" s="19"/>
      <c r="O26" s="19"/>
      <c r="P26" s="15"/>
      <c r="Q26" s="15" t="s">
        <v>786</v>
      </c>
      <c r="R26" s="21"/>
      <c r="S26" s="21"/>
      <c r="T26" s="21"/>
    </row>
    <row r="27" spans="1:20" x14ac:dyDescent="0.25">
      <c r="A27" t="s">
        <v>619</v>
      </c>
      <c r="B27" s="20">
        <f>COUNTIFS('S1 - Interventions'!$E:$E,B$6,'S1 - Interventions'!$I:$I,"*Glucose*")</f>
        <v>4</v>
      </c>
      <c r="C27" s="20">
        <f>COUNTIFS('S1 - Interventions'!$E:$E,C$6,'S1 - Interventions'!$I:$I,"*Glucose*")</f>
        <v>3</v>
      </c>
      <c r="D27" s="20">
        <f>COUNTIFS('S1 - Interventions'!$E:$E,D$6,'S1 - Interventions'!$I:$I,"*Glucose*")</f>
        <v>1</v>
      </c>
      <c r="E27" s="25">
        <f t="shared" ref="E27:E43" si="6">SUM(B27:D27)</f>
        <v>8</v>
      </c>
      <c r="G27" t="s">
        <v>619</v>
      </c>
      <c r="H27" s="22">
        <f t="shared" ref="H27:H43" si="7">B27/B$7</f>
        <v>0.16666666666666666</v>
      </c>
      <c r="I27" s="22">
        <f t="shared" ref="I27:I43" si="8">C27/C$7</f>
        <v>0.13043478260869565</v>
      </c>
      <c r="J27" s="22">
        <f t="shared" ref="J27:J43" si="9">D27/D$7</f>
        <v>0.16666666666666666</v>
      </c>
      <c r="L27" s="23" t="s">
        <v>620</v>
      </c>
      <c r="M27" s="20">
        <f>COUNTIFS('S1 - Interventions'!$E:$E,M$6,'S1 - Interventions'!$H:$H,"*Physiological*")</f>
        <v>9</v>
      </c>
      <c r="N27" s="20">
        <f>COUNTIFS('S1 - Interventions'!$E:$E,N$6,'S1 - Interventions'!$H:$H,"*Physiological*")</f>
        <v>13</v>
      </c>
      <c r="O27" s="20">
        <f>COUNTIFS('S1 - Interventions'!$E:$E,O$6,'S1 - Interventions'!$H:$H,"*Physiological*")</f>
        <v>3</v>
      </c>
      <c r="Q27" s="23" t="s">
        <v>620</v>
      </c>
      <c r="R27" s="22">
        <f t="shared" ref="R27:T31" si="10">M27/B$7</f>
        <v>0.375</v>
      </c>
      <c r="S27" s="22">
        <f t="shared" si="10"/>
        <v>0.56521739130434778</v>
      </c>
      <c r="T27" s="22">
        <f t="shared" si="10"/>
        <v>0.5</v>
      </c>
    </row>
    <row r="28" spans="1:20" x14ac:dyDescent="0.25">
      <c r="A28" t="s">
        <v>621</v>
      </c>
      <c r="B28" s="20">
        <f>COUNTIFS('S1 - Interventions'!$E:$E,B$6,'S1 - Interventions'!$I:$I,"*HbA1c*")</f>
        <v>2</v>
      </c>
      <c r="C28" s="20">
        <f>COUNTIFS('S1 - Interventions'!$E:$E,C$6,'S1 - Interventions'!$I:$I,"*HbA1c*")</f>
        <v>1</v>
      </c>
      <c r="D28" s="20">
        <f>COUNTIFS('S1 - Interventions'!$E:$E,D$6,'S1 - Interventions'!$I:$I,"*HbA1c*")</f>
        <v>2</v>
      </c>
      <c r="E28" s="25">
        <f t="shared" si="6"/>
        <v>5</v>
      </c>
      <c r="G28" t="s">
        <v>621</v>
      </c>
      <c r="H28" s="22">
        <f t="shared" si="7"/>
        <v>8.3333333333333329E-2</v>
      </c>
      <c r="I28" s="22">
        <f t="shared" si="8"/>
        <v>4.3478260869565216E-2</v>
      </c>
      <c r="J28" s="22">
        <f t="shared" si="9"/>
        <v>0.33333333333333331</v>
      </c>
      <c r="L28" t="s">
        <v>622</v>
      </c>
      <c r="M28" s="20">
        <f>COUNTIFS('S1 - Interventions'!$E:$E,M$6,'S1 - Interventions'!$H:$H,"*Risk*")</f>
        <v>5</v>
      </c>
      <c r="N28" s="20">
        <f>COUNTIFS('S1 - Interventions'!$E:$E,N$6,'S1 - Interventions'!$H:$H,"*Risk*")</f>
        <v>6</v>
      </c>
      <c r="O28" s="20">
        <f>COUNTIFS('S1 - Interventions'!$E:$E,O$6,'S1 - Interventions'!$H:$H,"*Risk*")</f>
        <v>5</v>
      </c>
      <c r="Q28" t="s">
        <v>622</v>
      </c>
      <c r="R28" s="22">
        <f t="shared" si="10"/>
        <v>0.20833333333333334</v>
      </c>
      <c r="S28" s="22">
        <f t="shared" si="10"/>
        <v>0.2608695652173913</v>
      </c>
      <c r="T28" s="22">
        <f t="shared" si="10"/>
        <v>0.83333333333333337</v>
      </c>
    </row>
    <row r="29" spans="1:20" x14ac:dyDescent="0.25">
      <c r="A29" t="s">
        <v>623</v>
      </c>
      <c r="B29" s="20">
        <f>COUNTIFS('S1 - Interventions'!$E:$E,B$6,'S1 - Interventions'!$I:$I,"*lipid*")</f>
        <v>8</v>
      </c>
      <c r="C29" s="20">
        <f>COUNTIFS('S1 - Interventions'!$E:$E,C$6,'S1 - Interventions'!$I:$I,"*lipid*")</f>
        <v>4</v>
      </c>
      <c r="D29" s="20">
        <f>COUNTIFS('S1 - Interventions'!$E:$E,D$6,'S1 - Interventions'!$I:$I,"*lipid*")</f>
        <v>1</v>
      </c>
      <c r="E29" s="25">
        <f t="shared" si="6"/>
        <v>13</v>
      </c>
      <c r="G29" t="s">
        <v>623</v>
      </c>
      <c r="H29" s="22">
        <f t="shared" si="7"/>
        <v>0.33333333333333331</v>
      </c>
      <c r="I29" s="22">
        <f t="shared" si="8"/>
        <v>0.17391304347826086</v>
      </c>
      <c r="J29" s="22">
        <f t="shared" si="9"/>
        <v>0.16666666666666666</v>
      </c>
      <c r="L29" t="s">
        <v>624</v>
      </c>
      <c r="M29" s="20">
        <f>COUNTIFS('S1 - Interventions'!$E:$E,M$6,'S1 - Interventions'!$H:$H,"*Imaging*")</f>
        <v>10</v>
      </c>
      <c r="N29" s="20">
        <f>COUNTIFS('S1 - Interventions'!$E:$E,N$6,'S1 - Interventions'!$H:$H,"*Imaging*")</f>
        <v>4</v>
      </c>
      <c r="O29" s="20">
        <f>COUNTIFS('S1 - Interventions'!$E:$E,O$6,'S1 - Interventions'!$H:$H,"*Imaging*")</f>
        <v>0</v>
      </c>
      <c r="Q29" t="s">
        <v>624</v>
      </c>
      <c r="R29" s="22">
        <f t="shared" si="10"/>
        <v>0.41666666666666669</v>
      </c>
      <c r="S29" s="22">
        <f t="shared" si="10"/>
        <v>0.17391304347826086</v>
      </c>
      <c r="T29" s="22">
        <f t="shared" si="10"/>
        <v>0</v>
      </c>
    </row>
    <row r="30" spans="1:20" x14ac:dyDescent="0.25">
      <c r="A30" t="s">
        <v>625</v>
      </c>
      <c r="B30" s="20">
        <f>COUNTIFS('S1 - Interventions'!$E:$E,B$6,'S1 - Interventions'!$I:$I,"*pressure*")</f>
        <v>4</v>
      </c>
      <c r="C30" s="20">
        <f>COUNTIFS('S1 - Interventions'!$E:$E,C$6,'S1 - Interventions'!$I:$I,"*pressure*")</f>
        <v>9</v>
      </c>
      <c r="D30" s="20">
        <f>COUNTIFS('S1 - Interventions'!$E:$E,D$6,'S1 - Interventions'!$I:$I,"*pressure*")</f>
        <v>3</v>
      </c>
      <c r="E30" s="25">
        <f t="shared" si="6"/>
        <v>16</v>
      </c>
      <c r="G30" t="s">
        <v>625</v>
      </c>
      <c r="H30" s="22">
        <f t="shared" si="7"/>
        <v>0.16666666666666666</v>
      </c>
      <c r="I30" s="22">
        <f t="shared" si="8"/>
        <v>0.39130434782608697</v>
      </c>
      <c r="J30" s="22">
        <f t="shared" si="9"/>
        <v>0.5</v>
      </c>
      <c r="L30" t="s">
        <v>626</v>
      </c>
      <c r="M30" s="20">
        <f>COUNTIFS('S1 - Interventions'!$E:$E,M$6,'S1 - Interventions'!$H:$H,"*Blood*")</f>
        <v>8</v>
      </c>
      <c r="N30" s="20">
        <f>COUNTIFS('S1 - Interventions'!$E:$E,N$6,'S1 - Interventions'!$H:$H,"*Blood*")</f>
        <v>7</v>
      </c>
      <c r="O30" s="20">
        <f>COUNTIFS('S1 - Interventions'!$E:$E,O$6,'S1 - Interventions'!$H:$H,"*Blood*")</f>
        <v>1</v>
      </c>
      <c r="Q30" t="s">
        <v>626</v>
      </c>
      <c r="R30" s="22">
        <f t="shared" si="10"/>
        <v>0.33333333333333331</v>
      </c>
      <c r="S30" s="22">
        <f t="shared" si="10"/>
        <v>0.30434782608695654</v>
      </c>
      <c r="T30" s="22">
        <f t="shared" si="10"/>
        <v>0.16666666666666666</v>
      </c>
    </row>
    <row r="31" spans="1:20" x14ac:dyDescent="0.25">
      <c r="A31" t="s">
        <v>627</v>
      </c>
      <c r="B31" s="20">
        <f>COUNTIFS('S1 - Interventions'!$E:$E,B$6,'S1 - Interventions'!$I:$I,"*nutrient*")</f>
        <v>2</v>
      </c>
      <c r="C31" s="20">
        <f>COUNTIFS('S1 - Interventions'!$E:$E,C$6,'S1 - Interventions'!$I:$I,"*nutrient*")</f>
        <v>2</v>
      </c>
      <c r="D31" s="20">
        <f>COUNTIFS('S1 - Interventions'!$E:$E,D$6,'S1 - Interventions'!$I:$I,"*nutrient*")</f>
        <v>0</v>
      </c>
      <c r="E31" s="25">
        <f t="shared" si="6"/>
        <v>4</v>
      </c>
      <c r="G31" t="s">
        <v>627</v>
      </c>
      <c r="H31" s="22">
        <f t="shared" si="7"/>
        <v>8.3333333333333329E-2</v>
      </c>
      <c r="I31" s="22">
        <f t="shared" si="8"/>
        <v>8.6956521739130432E-2</v>
      </c>
      <c r="J31" s="22">
        <f t="shared" si="9"/>
        <v>0</v>
      </c>
      <c r="L31" t="s">
        <v>628</v>
      </c>
      <c r="M31" s="20">
        <f>COUNTIFS('S1 - Interventions'!$E:$E,M$6,'S1 - Interventions'!$H:$H,"*Anthropometry*")</f>
        <v>6</v>
      </c>
      <c r="N31" s="20">
        <f>COUNTIFS('S1 - Interventions'!$E:$E,N$6,'S1 - Interventions'!$H:$H,"*Anthropometry*")</f>
        <v>10</v>
      </c>
      <c r="O31" s="20">
        <f>COUNTIFS('S1 - Interventions'!$E:$E,O$6,'S1 - Interventions'!$H:$H,"*Anthropometry*")</f>
        <v>3</v>
      </c>
      <c r="P31"/>
      <c r="Q31" t="s">
        <v>628</v>
      </c>
      <c r="R31" s="22">
        <f t="shared" si="10"/>
        <v>0.25</v>
      </c>
      <c r="S31" s="22">
        <f t="shared" si="10"/>
        <v>0.43478260869565216</v>
      </c>
      <c r="T31" s="22">
        <f t="shared" si="10"/>
        <v>0.5</v>
      </c>
    </row>
    <row r="32" spans="1:20" x14ac:dyDescent="0.25">
      <c r="A32" t="s">
        <v>117</v>
      </c>
      <c r="B32" s="20">
        <f>COUNTIFS('S1 - Interventions'!$E:$E,B$6,'S1 - Interventions'!$I:$I,"*anthropometrics*")</f>
        <v>6</v>
      </c>
      <c r="C32" s="20">
        <f>COUNTIFS('S1 - Interventions'!$E:$E,C$6,'S1 - Interventions'!$I:$I,"*anthropometrics*")</f>
        <v>10</v>
      </c>
      <c r="D32" s="20">
        <f>COUNTIFS('S1 - Interventions'!$E:$E,D$6,'S1 - Interventions'!$I:$I,"*anthropometrics*")</f>
        <v>3</v>
      </c>
      <c r="E32" s="25">
        <f t="shared" si="6"/>
        <v>19</v>
      </c>
      <c r="G32" t="s">
        <v>117</v>
      </c>
      <c r="H32" s="22">
        <f t="shared" si="7"/>
        <v>0.25</v>
      </c>
      <c r="I32" s="22">
        <f t="shared" si="8"/>
        <v>0.43478260869565216</v>
      </c>
      <c r="J32" s="22">
        <f t="shared" si="9"/>
        <v>0.5</v>
      </c>
      <c r="M32"/>
      <c r="N32"/>
      <c r="O32"/>
      <c r="P32"/>
      <c r="R32"/>
      <c r="S32"/>
    </row>
    <row r="33" spans="1:20" x14ac:dyDescent="0.25">
      <c r="A33" t="s">
        <v>629</v>
      </c>
      <c r="B33" s="20">
        <f>COUNTIFS('S1 - Interventions'!$E:$E,B$6,'S1 - Interventions'!$I:$I,"*heart rate*")</f>
        <v>0</v>
      </c>
      <c r="C33" s="20">
        <f>COUNTIFS('S1 - Interventions'!$E:$E,C$6,'S1 - Interventions'!$I:$I,"*heart rate*")</f>
        <v>2</v>
      </c>
      <c r="D33" s="20">
        <f>COUNTIFS('S1 - Interventions'!$E:$E,D$6,'S1 - Interventions'!$I:$I,"*heart rate*")</f>
        <v>0</v>
      </c>
      <c r="E33" s="25">
        <f t="shared" si="6"/>
        <v>2</v>
      </c>
      <c r="G33" t="s">
        <v>629</v>
      </c>
      <c r="H33" s="22">
        <f t="shared" si="7"/>
        <v>0</v>
      </c>
      <c r="I33" s="22">
        <f t="shared" si="8"/>
        <v>8.6956521739130432E-2</v>
      </c>
      <c r="J33" s="22">
        <f t="shared" si="9"/>
        <v>0</v>
      </c>
      <c r="M33"/>
      <c r="N33"/>
      <c r="O33"/>
      <c r="P33"/>
      <c r="R33"/>
      <c r="S33"/>
    </row>
    <row r="34" spans="1:20" x14ac:dyDescent="0.25">
      <c r="A34" t="s">
        <v>502</v>
      </c>
      <c r="B34" s="20">
        <f>COUNTIFS('S1 - Interventions'!$E:$E,B$6,'S1 - Interventions'!$I:$I,"*genetic*")</f>
        <v>5</v>
      </c>
      <c r="C34" s="20">
        <f>COUNTIFS('S1 - Interventions'!$E:$E,C$6,'S1 - Interventions'!$I:$I,"*genetic*")</f>
        <v>6</v>
      </c>
      <c r="D34" s="20">
        <f>COUNTIFS('S1 - Interventions'!$E:$E,D$6,'S1 - Interventions'!$I:$I,"*genetic*")</f>
        <v>5</v>
      </c>
      <c r="E34" s="25">
        <f t="shared" si="6"/>
        <v>16</v>
      </c>
      <c r="G34" t="s">
        <v>502</v>
      </c>
      <c r="H34" s="22">
        <f t="shared" si="7"/>
        <v>0.20833333333333334</v>
      </c>
      <c r="I34" s="22">
        <f t="shared" si="8"/>
        <v>0.2608695652173913</v>
      </c>
      <c r="J34" s="22">
        <f t="shared" si="9"/>
        <v>0.83333333333333337</v>
      </c>
      <c r="L34" t="s">
        <v>630</v>
      </c>
      <c r="M34"/>
      <c r="N34"/>
      <c r="O34"/>
      <c r="P34"/>
      <c r="R34"/>
      <c r="S34"/>
    </row>
    <row r="35" spans="1:20" x14ac:dyDescent="0.25">
      <c r="A35" t="s">
        <v>568</v>
      </c>
      <c r="B35" s="20">
        <f>COUNTIFS('S1 - Interventions'!$E:$E,B$6,'S1 - Interventions'!$I:$I,"*CT scan*")</f>
        <v>0</v>
      </c>
      <c r="C35" s="20">
        <f>COUNTIFS('S1 - Interventions'!$E:$E,C$6,'S1 - Interventions'!$I:$I,"*CT scan*")</f>
        <v>2</v>
      </c>
      <c r="D35" s="20">
        <f>COUNTIFS('S1 - Interventions'!$E:$E,D$6,'S1 - Interventions'!$I:$I,"*CT scan*")</f>
        <v>0</v>
      </c>
      <c r="E35" s="25">
        <f t="shared" si="6"/>
        <v>2</v>
      </c>
      <c r="G35" t="s">
        <v>568</v>
      </c>
      <c r="H35" s="22">
        <f t="shared" si="7"/>
        <v>0</v>
      </c>
      <c r="I35" s="22">
        <f t="shared" si="8"/>
        <v>8.6956521739130432E-2</v>
      </c>
      <c r="J35" s="22">
        <f t="shared" si="9"/>
        <v>0</v>
      </c>
      <c r="L35" s="11" t="s">
        <v>620</v>
      </c>
      <c r="M35" s="11" t="s">
        <v>631</v>
      </c>
      <c r="N35" s="11" t="s">
        <v>624</v>
      </c>
      <c r="O35" s="11" t="s">
        <v>626</v>
      </c>
      <c r="P35" s="11" t="s">
        <v>628</v>
      </c>
      <c r="R35"/>
      <c r="S35"/>
    </row>
    <row r="36" spans="1:20" x14ac:dyDescent="0.25">
      <c r="A36" t="s">
        <v>632</v>
      </c>
      <c r="B36" s="20">
        <f>COUNTIFS('S1 - Interventions'!$E:$E,B$6,'S1 - Interventions'!$I:$I,"*ECG*")</f>
        <v>0</v>
      </c>
      <c r="C36" s="20">
        <f>COUNTIFS('S1 - Interventions'!$E:$E,C$6,'S1 - Interventions'!$I:$I,"*ECG*")</f>
        <v>1</v>
      </c>
      <c r="D36" s="20">
        <f>COUNTIFS('S1 - Interventions'!$E:$E,D$6,'S1 - Interventions'!$I:$I,"*ECG*")</f>
        <v>0</v>
      </c>
      <c r="E36" s="25">
        <f t="shared" si="6"/>
        <v>1</v>
      </c>
      <c r="G36" t="s">
        <v>632</v>
      </c>
      <c r="H36" s="22">
        <f t="shared" si="7"/>
        <v>0</v>
      </c>
      <c r="I36" s="22">
        <f t="shared" si="8"/>
        <v>4.3478260869565216E-2</v>
      </c>
      <c r="J36" s="22">
        <f t="shared" si="9"/>
        <v>0</v>
      </c>
      <c r="L36" t="s">
        <v>625</v>
      </c>
      <c r="M36" t="s">
        <v>502</v>
      </c>
      <c r="N36" t="s">
        <v>523</v>
      </c>
      <c r="O36" t="s">
        <v>619</v>
      </c>
      <c r="P36" t="s">
        <v>117</v>
      </c>
      <c r="R36"/>
      <c r="S36"/>
    </row>
    <row r="37" spans="1:20" x14ac:dyDescent="0.25">
      <c r="A37" t="s">
        <v>557</v>
      </c>
      <c r="B37" s="20">
        <f>COUNTIFS('S1 - Interventions'!$E:$E,B$6,'S1 - Interventions'!$I:$I,"*spirometry*")</f>
        <v>1</v>
      </c>
      <c r="C37" s="20">
        <f>COUNTIFS('S1 - Interventions'!$E:$E,C$6,'S1 - Interventions'!$I:$I,"*spirometry*")</f>
        <v>1</v>
      </c>
      <c r="D37" s="20">
        <f>COUNTIFS('S1 - Interventions'!$E:$E,D$6,'S1 - Interventions'!$I:$I,"*spirometry*")</f>
        <v>0</v>
      </c>
      <c r="E37" s="25">
        <f t="shared" si="6"/>
        <v>2</v>
      </c>
      <c r="G37" t="s">
        <v>557</v>
      </c>
      <c r="H37" s="22">
        <f t="shared" si="7"/>
        <v>4.1666666666666664E-2</v>
      </c>
      <c r="I37" s="22">
        <f t="shared" si="8"/>
        <v>4.3478260869565216E-2</v>
      </c>
      <c r="J37" s="22">
        <f t="shared" si="9"/>
        <v>0</v>
      </c>
      <c r="L37" t="s">
        <v>629</v>
      </c>
      <c r="M37"/>
      <c r="N37" t="s">
        <v>633</v>
      </c>
      <c r="O37" t="s">
        <v>621</v>
      </c>
      <c r="P37"/>
      <c r="R37"/>
      <c r="S37"/>
    </row>
    <row r="38" spans="1:20" x14ac:dyDescent="0.25">
      <c r="A38" t="s">
        <v>634</v>
      </c>
      <c r="B38" s="20">
        <f>COUNTIFS('S1 - Interventions'!$E:$E,B$6,'S1 - Interventions'!$I:$I,"*oral*")</f>
        <v>2</v>
      </c>
      <c r="C38" s="20">
        <f>COUNTIFS('S1 - Interventions'!$E:$E,C$6,'S1 - Interventions'!$I:$I,"*oral*")</f>
        <v>1</v>
      </c>
      <c r="D38" s="20">
        <f>COUNTIFS('S1 - Interventions'!$E:$E,D$6,'S1 - Interventions'!$I:$I,"*oral*")</f>
        <v>0</v>
      </c>
      <c r="E38" s="25">
        <f t="shared" si="6"/>
        <v>3</v>
      </c>
      <c r="G38" t="s">
        <v>634</v>
      </c>
      <c r="H38" s="22">
        <f t="shared" si="7"/>
        <v>8.3333333333333329E-2</v>
      </c>
      <c r="I38" s="22">
        <f t="shared" si="8"/>
        <v>4.3478260869565216E-2</v>
      </c>
      <c r="J38" s="22">
        <f t="shared" si="9"/>
        <v>0</v>
      </c>
      <c r="L38" t="s">
        <v>632</v>
      </c>
      <c r="M38"/>
      <c r="N38" t="s">
        <v>635</v>
      </c>
      <c r="O38" t="s">
        <v>623</v>
      </c>
      <c r="P38"/>
      <c r="R38"/>
      <c r="S38"/>
    </row>
    <row r="39" spans="1:20" x14ac:dyDescent="0.25">
      <c r="A39" t="s">
        <v>633</v>
      </c>
      <c r="B39" s="20">
        <f>COUNTIFS('S1 - Interventions'!$E:$E,B$6,'S1 - Interventions'!$I:$I,"*UV*")</f>
        <v>6</v>
      </c>
      <c r="C39" s="20">
        <f>COUNTIFS('S1 - Interventions'!$E:$E,C$6,'S1 - Interventions'!$I:$I,"*UV*")</f>
        <v>1</v>
      </c>
      <c r="D39" s="20">
        <f>COUNTIFS('S1 - Interventions'!$E:$E,D$6,'S1 - Interventions'!$I:$I,"*UV*")</f>
        <v>0</v>
      </c>
      <c r="E39" s="25">
        <f t="shared" si="6"/>
        <v>7</v>
      </c>
      <c r="G39" t="s">
        <v>633</v>
      </c>
      <c r="H39" s="22">
        <f t="shared" si="7"/>
        <v>0.25</v>
      </c>
      <c r="I39" s="22">
        <f t="shared" si="8"/>
        <v>4.3478260869565216E-2</v>
      </c>
      <c r="J39" s="22">
        <f t="shared" si="9"/>
        <v>0</v>
      </c>
      <c r="L39" t="s">
        <v>636</v>
      </c>
      <c r="M39"/>
      <c r="N39" t="s">
        <v>634</v>
      </c>
      <c r="O39" t="s">
        <v>627</v>
      </c>
      <c r="P39"/>
      <c r="R39"/>
      <c r="S39"/>
    </row>
    <row r="40" spans="1:20" x14ac:dyDescent="0.25">
      <c r="A40" t="s">
        <v>635</v>
      </c>
      <c r="B40" s="20">
        <f>COUNTIFS('S1 - Interventions'!$E:$E,B$6,'S1 - Interventions'!$I:$I,"*facial*")</f>
        <v>1</v>
      </c>
      <c r="C40" s="20">
        <f>COUNTIFS('S1 - Interventions'!$E:$E,C$6,'S1 - Interventions'!$I:$I,"*facial*")</f>
        <v>0</v>
      </c>
      <c r="D40" s="20">
        <f>COUNTIFS('S1 - Interventions'!$E:$E,D$6,'S1 - Interventions'!$I:$I,"*facial*")</f>
        <v>0</v>
      </c>
      <c r="E40" s="25">
        <f t="shared" si="6"/>
        <v>1</v>
      </c>
      <c r="G40" t="s">
        <v>635</v>
      </c>
      <c r="H40" s="22">
        <f t="shared" si="7"/>
        <v>4.1666666666666664E-2</v>
      </c>
      <c r="I40" s="22">
        <f t="shared" si="8"/>
        <v>0</v>
      </c>
      <c r="J40" s="22">
        <f t="shared" si="9"/>
        <v>0</v>
      </c>
      <c r="L40" t="s">
        <v>557</v>
      </c>
      <c r="M40"/>
      <c r="N40" t="s">
        <v>568</v>
      </c>
      <c r="O40"/>
      <c r="P40"/>
      <c r="R40"/>
      <c r="S40"/>
    </row>
    <row r="41" spans="1:20" x14ac:dyDescent="0.25">
      <c r="A41" t="s">
        <v>636</v>
      </c>
      <c r="B41" s="20">
        <f>COUNTIFS('S1 - Interventions'!$E:$E,B$6,'S1 - Interventions'!$I:$I,"*VO2max*")</f>
        <v>0</v>
      </c>
      <c r="C41" s="20">
        <f>COUNTIFS('S1 - Interventions'!$E:$E,C$6,'S1 - Interventions'!$I:$I,"*VO2max*")</f>
        <v>2</v>
      </c>
      <c r="D41" s="20">
        <f>COUNTIFS('S1 - Interventions'!$E:$E,D$6,'S1 - Interventions'!$I:$I,"*VO2max*")</f>
        <v>0</v>
      </c>
      <c r="E41" s="25">
        <f t="shared" si="6"/>
        <v>2</v>
      </c>
      <c r="G41" t="s">
        <v>636</v>
      </c>
      <c r="H41" s="22">
        <f t="shared" si="7"/>
        <v>0</v>
      </c>
      <c r="I41" s="22">
        <f t="shared" si="8"/>
        <v>8.6956521739130432E-2</v>
      </c>
      <c r="J41" s="22">
        <f t="shared" si="9"/>
        <v>0</v>
      </c>
      <c r="L41" t="s">
        <v>637</v>
      </c>
      <c r="M41"/>
      <c r="N41"/>
      <c r="O41"/>
      <c r="P41"/>
      <c r="R41"/>
      <c r="S41"/>
    </row>
    <row r="42" spans="1:20" x14ac:dyDescent="0.25">
      <c r="A42" t="s">
        <v>523</v>
      </c>
      <c r="B42" s="20">
        <f>COUNTIFS('S1 - Interventions'!$E:$E,B$6,'S1 - Interventions'!$I:$I,"*ultrasound*")</f>
        <v>1</v>
      </c>
      <c r="C42" s="20">
        <f>COUNTIFS('S1 - Interventions'!$E:$E,C$6,'S1 - Interventions'!$I:$I,"*ultrasound*")</f>
        <v>0</v>
      </c>
      <c r="D42" s="20">
        <f>COUNTIFS('S1 - Interventions'!$E:$E,D$6,'S1 - Interventions'!$I:$I,"*ultrasound*")</f>
        <v>0</v>
      </c>
      <c r="E42" s="25">
        <f t="shared" si="6"/>
        <v>1</v>
      </c>
      <c r="G42" t="s">
        <v>523</v>
      </c>
      <c r="H42" s="22">
        <f t="shared" si="7"/>
        <v>4.1666666666666664E-2</v>
      </c>
      <c r="I42" s="22">
        <f t="shared" si="8"/>
        <v>0</v>
      </c>
      <c r="J42" s="22">
        <f t="shared" si="9"/>
        <v>0</v>
      </c>
      <c r="M42"/>
      <c r="N42"/>
      <c r="O42"/>
      <c r="P42"/>
      <c r="R42"/>
      <c r="S42"/>
    </row>
    <row r="43" spans="1:20" x14ac:dyDescent="0.25">
      <c r="A43" t="s">
        <v>638</v>
      </c>
      <c r="B43" s="20">
        <f>COUNTIFS('S1 - Interventions'!$E:$E,B$6,'S1 - Interventions'!$I:$I,"*respiratory*")</f>
        <v>1</v>
      </c>
      <c r="C43" s="20">
        <f>COUNTIFS('S1 - Interventions'!$E:$E,C$6,'S1 - Interventions'!$I:$I,"*respiratory*")</f>
        <v>0</v>
      </c>
      <c r="D43" s="20">
        <f>COUNTIFS('S1 - Interventions'!$E:$E,D$6,'S1 - Interventions'!$I:$I,"*respiratory*")</f>
        <v>0</v>
      </c>
      <c r="E43" s="25">
        <f t="shared" si="6"/>
        <v>1</v>
      </c>
      <c r="G43" t="s">
        <v>638</v>
      </c>
      <c r="H43" s="22">
        <f t="shared" si="7"/>
        <v>4.1666666666666664E-2</v>
      </c>
      <c r="I43" s="22">
        <f t="shared" si="8"/>
        <v>0</v>
      </c>
      <c r="J43" s="22">
        <f t="shared" si="9"/>
        <v>0</v>
      </c>
      <c r="M43"/>
      <c r="N43"/>
      <c r="O43"/>
      <c r="P43"/>
      <c r="R43"/>
      <c r="S43"/>
    </row>
    <row r="44" spans="1:20" x14ac:dyDescent="0.25">
      <c r="A44" s="15" t="s">
        <v>781</v>
      </c>
      <c r="B44" s="33"/>
      <c r="C44" s="33"/>
      <c r="D44" s="33"/>
      <c r="E44" s="40"/>
      <c r="F44" s="40"/>
      <c r="G44" s="15" t="s">
        <v>781</v>
      </c>
      <c r="H44" s="35"/>
      <c r="I44" s="35"/>
      <c r="J44" s="35"/>
      <c r="L44" s="15" t="s">
        <v>785</v>
      </c>
      <c r="M44" s="19"/>
      <c r="N44" s="19"/>
      <c r="O44" s="19"/>
      <c r="P44" s="19"/>
      <c r="Q44" s="15" t="s">
        <v>785</v>
      </c>
      <c r="R44" s="21"/>
      <c r="S44" s="21"/>
      <c r="T44" s="21"/>
    </row>
    <row r="45" spans="1:20" x14ac:dyDescent="0.25">
      <c r="A45" s="6" t="s">
        <v>614</v>
      </c>
      <c r="B45" s="20">
        <f>COUNTIFS('S1 - Interventions'!$E:$E,B$6,'S1 - Interventions'!$K:$K,"1")</f>
        <v>17</v>
      </c>
      <c r="C45" s="20">
        <f>COUNTIFS('S1 - Interventions'!$E:$E,C$6,'S1 - Interventions'!$K:$K,"1")</f>
        <v>13</v>
      </c>
      <c r="D45" s="20">
        <f>COUNTIFS('S1 - Interventions'!$E:$E,D$6,'S1 - Interventions'!$K:$K,"1")</f>
        <v>3</v>
      </c>
      <c r="E45" s="25">
        <f>SUM(B45:D45)</f>
        <v>33</v>
      </c>
      <c r="G45" s="6" t="s">
        <v>614</v>
      </c>
      <c r="H45" s="22">
        <f t="shared" ref="H45:J49" si="11">B45/B$7</f>
        <v>0.70833333333333337</v>
      </c>
      <c r="I45" s="22">
        <f t="shared" si="11"/>
        <v>0.56521739130434778</v>
      </c>
      <c r="J45" s="22">
        <f t="shared" si="11"/>
        <v>0.5</v>
      </c>
      <c r="L45" t="s">
        <v>614</v>
      </c>
      <c r="M45" s="20">
        <f>B45</f>
        <v>17</v>
      </c>
      <c r="N45" s="20">
        <f>C45</f>
        <v>13</v>
      </c>
      <c r="O45" s="20">
        <f>D45</f>
        <v>3</v>
      </c>
      <c r="Q45" t="s">
        <v>614</v>
      </c>
      <c r="R45" s="22">
        <f t="shared" ref="R45:T46" si="12">M45/B$7</f>
        <v>0.70833333333333337</v>
      </c>
      <c r="S45" s="22">
        <f t="shared" si="12"/>
        <v>0.56521739130434778</v>
      </c>
      <c r="T45" s="22">
        <f t="shared" si="12"/>
        <v>0.5</v>
      </c>
    </row>
    <row r="46" spans="1:20" x14ac:dyDescent="0.25">
      <c r="A46" s="6" t="s">
        <v>615</v>
      </c>
      <c r="B46" s="20">
        <f>COUNTIFS('S1 - Interventions'!$E:$E,B$6,'S1 - Interventions'!$K:$K,"2")</f>
        <v>1</v>
      </c>
      <c r="C46" s="20">
        <f>COUNTIFS('S1 - Interventions'!$E:$E,C$6,'S1 - Interventions'!$K:$K,"2")</f>
        <v>2</v>
      </c>
      <c r="D46" s="20">
        <f>COUNTIFS('S1 - Interventions'!$E:$E,D$6,'S1 - Interventions'!$K:$K,"2")</f>
        <v>0</v>
      </c>
      <c r="E46" s="25">
        <f>SUM(B46:D46)</f>
        <v>3</v>
      </c>
      <c r="G46" s="6" t="s">
        <v>615</v>
      </c>
      <c r="H46" s="22">
        <f t="shared" si="11"/>
        <v>4.1666666666666664E-2</v>
      </c>
      <c r="I46" s="22">
        <f t="shared" si="11"/>
        <v>8.6956521739130432E-2</v>
      </c>
      <c r="J46" s="22">
        <f t="shared" si="11"/>
        <v>0</v>
      </c>
      <c r="L46" t="s">
        <v>616</v>
      </c>
      <c r="M46" s="20">
        <f>SUM(B46:B49)</f>
        <v>7</v>
      </c>
      <c r="N46" s="20">
        <f>SUM(C46:C49)</f>
        <v>10</v>
      </c>
      <c r="O46" s="20">
        <f>SUM(D46:D49)</f>
        <v>3</v>
      </c>
      <c r="Q46" t="s">
        <v>616</v>
      </c>
      <c r="R46" s="22">
        <f t="shared" si="12"/>
        <v>0.29166666666666669</v>
      </c>
      <c r="S46" s="22">
        <f t="shared" si="12"/>
        <v>0.43478260869565216</v>
      </c>
      <c r="T46" s="22">
        <f t="shared" si="12"/>
        <v>0.5</v>
      </c>
    </row>
    <row r="47" spans="1:20" x14ac:dyDescent="0.25">
      <c r="A47" s="6" t="s">
        <v>617</v>
      </c>
      <c r="B47" s="20">
        <f>COUNTIFS('S1 - Interventions'!$E:$E,B$6,'S1 - Interventions'!$K:$K,"3")</f>
        <v>1</v>
      </c>
      <c r="C47" s="20">
        <f>COUNTIFS('S1 - Interventions'!$E:$E,C$6,'S1 - Interventions'!$K:$K,"3")</f>
        <v>5</v>
      </c>
      <c r="D47" s="20">
        <f>COUNTIFS('S1 - Interventions'!$E:$E,D$6,'S1 - Interventions'!$K:$K,"3")</f>
        <v>1</v>
      </c>
      <c r="E47" s="25">
        <f>SUM(B47:D47)</f>
        <v>7</v>
      </c>
      <c r="G47" s="6" t="s">
        <v>617</v>
      </c>
      <c r="H47" s="22">
        <f t="shared" si="11"/>
        <v>4.1666666666666664E-2</v>
      </c>
      <c r="I47" s="22">
        <f t="shared" si="11"/>
        <v>0.21739130434782608</v>
      </c>
      <c r="J47" s="22">
        <f t="shared" si="11"/>
        <v>0.16666666666666666</v>
      </c>
    </row>
    <row r="48" spans="1:20" x14ac:dyDescent="0.25">
      <c r="A48" s="6" t="s">
        <v>618</v>
      </c>
      <c r="B48" s="20">
        <f>COUNTIFS('S1 - Interventions'!$E:$E,B$6,'S1 - Interventions'!$K:$K,"4")</f>
        <v>4</v>
      </c>
      <c r="C48" s="20">
        <f>COUNTIFS('S1 - Interventions'!$E:$E,C$6,'S1 - Interventions'!$K:$K,"4")</f>
        <v>2</v>
      </c>
      <c r="D48" s="20">
        <f>COUNTIFS('S1 - Interventions'!$E:$E,D$6,'S1 - Interventions'!$K:$K,"4")</f>
        <v>1</v>
      </c>
      <c r="E48" s="25">
        <f>SUM(B48:D48)</f>
        <v>7</v>
      </c>
      <c r="G48" s="6" t="s">
        <v>618</v>
      </c>
      <c r="H48" s="22">
        <f t="shared" si="11"/>
        <v>0.16666666666666666</v>
      </c>
      <c r="I48" s="22">
        <f t="shared" si="11"/>
        <v>8.6956521739130432E-2</v>
      </c>
      <c r="J48" s="22">
        <f t="shared" si="11"/>
        <v>0.16666666666666666</v>
      </c>
    </row>
    <row r="49" spans="1:20" x14ac:dyDescent="0.25">
      <c r="A49" t="s">
        <v>639</v>
      </c>
      <c r="B49" s="20">
        <f>COUNTIFS('S1 - Interventions'!$E:$E,B$6,'S1 - Interventions'!$K:$K,"5")</f>
        <v>1</v>
      </c>
      <c r="C49" s="20">
        <f>COUNTIFS('S1 - Interventions'!$E:$E,C$6,'S1 - Interventions'!$K:$K,"5")</f>
        <v>1</v>
      </c>
      <c r="D49" s="20">
        <f>COUNTIFS('S1 - Interventions'!$E:$E,D$6,'S1 - Interventions'!$K:$K,"5")</f>
        <v>1</v>
      </c>
      <c r="E49" s="25">
        <f>SUM(B49:D49)</f>
        <v>3</v>
      </c>
      <c r="G49" t="s">
        <v>639</v>
      </c>
      <c r="H49" s="22">
        <f t="shared" si="11"/>
        <v>4.1666666666666664E-2</v>
      </c>
      <c r="I49" s="22">
        <f t="shared" si="11"/>
        <v>4.3478260869565216E-2</v>
      </c>
      <c r="J49" s="22">
        <f t="shared" si="11"/>
        <v>0.16666666666666666</v>
      </c>
    </row>
    <row r="51" spans="1:20" x14ac:dyDescent="0.25">
      <c r="A51" s="15" t="s">
        <v>640</v>
      </c>
      <c r="B51" s="33"/>
      <c r="C51" s="33"/>
      <c r="D51" s="33"/>
      <c r="E51" s="40"/>
      <c r="F51" s="33"/>
      <c r="G51" s="15" t="s">
        <v>640</v>
      </c>
      <c r="H51" s="33"/>
      <c r="I51" s="33"/>
      <c r="J51" s="33"/>
      <c r="L51" s="15" t="s">
        <v>641</v>
      </c>
      <c r="M51" s="15"/>
      <c r="N51" s="15"/>
      <c r="O51" s="15"/>
      <c r="P51" s="15"/>
      <c r="Q51" s="15" t="s">
        <v>641</v>
      </c>
      <c r="R51" s="15"/>
      <c r="S51" s="15"/>
      <c r="T51" s="15"/>
    </row>
    <row r="52" spans="1:20" s="6" customFormat="1" x14ac:dyDescent="0.25">
      <c r="A52" s="6" t="s">
        <v>584</v>
      </c>
      <c r="B52" s="20">
        <f>COUNTIFS('S1 - Interventions'!$E:$E,B$6,'S1 - Interventions'!$AC:$AC,"*Transtheoretical*")</f>
        <v>2</v>
      </c>
      <c r="C52" s="20">
        <f>COUNTIFS('S1 - Interventions'!$E:$E,C$6,'S1 - Interventions'!$AC:$AC,"*Transtheoretical*")</f>
        <v>4</v>
      </c>
      <c r="D52" s="20">
        <f>COUNTIFS('S1 - Interventions'!$E:$E,D$6,'S1 - Interventions'!$AC:$AC,"*Transtheoretical*")</f>
        <v>1</v>
      </c>
      <c r="E52" s="25">
        <f t="shared" ref="E52:E67" si="13">SUM(B52:D52)</f>
        <v>7</v>
      </c>
      <c r="G52" s="6" t="s">
        <v>584</v>
      </c>
      <c r="H52" s="22">
        <f t="shared" ref="H52:H67" si="14">B52/B$7</f>
        <v>8.3333333333333329E-2</v>
      </c>
      <c r="I52" s="22">
        <f t="shared" ref="I52:I67" si="15">C52/C$7</f>
        <v>0.17391304347826086</v>
      </c>
      <c r="J52" s="22">
        <f t="shared" ref="J52:J67" si="16">D52/D$7</f>
        <v>0.16666666666666666</v>
      </c>
      <c r="L52" s="1" t="s">
        <v>642</v>
      </c>
      <c r="M52" s="41">
        <f>COUNTIFS('S1 - Interventions'!$E:$E,B$6,'S1 - Interventions'!$AC:$AC,"None")</f>
        <v>15</v>
      </c>
      <c r="N52" s="41">
        <f>COUNTIFS('S1 - Interventions'!$E:$E,C$6,'S1 - Interventions'!$AC:$AC,"None")</f>
        <v>14</v>
      </c>
      <c r="O52" s="41">
        <f>COUNTIFS('S1 - Interventions'!$E:$E,D$6,'S1 - Interventions'!$AC:$AC,"None")</f>
        <v>3</v>
      </c>
      <c r="P52" s="27"/>
      <c r="Q52" s="1" t="s">
        <v>642</v>
      </c>
      <c r="R52" s="22">
        <f t="shared" ref="R52:T53" si="17">M52/B$7</f>
        <v>0.625</v>
      </c>
      <c r="S52" s="22">
        <f t="shared" si="17"/>
        <v>0.60869565217391308</v>
      </c>
      <c r="T52" s="22">
        <f t="shared" si="17"/>
        <v>0.5</v>
      </c>
    </row>
    <row r="53" spans="1:20" x14ac:dyDescent="0.25">
      <c r="A53" t="s">
        <v>643</v>
      </c>
      <c r="B53" s="20">
        <f>COUNTIFS('S1 - Interventions'!$E:$E,B$6,'S1 - Interventions'!$AC:$AC,"*Self-determination*")</f>
        <v>1</v>
      </c>
      <c r="C53" s="20">
        <f>COUNTIFS('S1 - Interventions'!$E:$E,C$6,'S1 - Interventions'!$AC:$AC,"*Self-determination*")</f>
        <v>0</v>
      </c>
      <c r="D53" s="20">
        <f>COUNTIFS('S1 - Interventions'!$E:$E,D$6,'S1 - Interventions'!$AC:$AC,"*Self-determination*")</f>
        <v>0</v>
      </c>
      <c r="E53" s="25">
        <f t="shared" si="13"/>
        <v>1</v>
      </c>
      <c r="G53" t="s">
        <v>643</v>
      </c>
      <c r="H53" s="22">
        <f t="shared" si="14"/>
        <v>4.1666666666666664E-2</v>
      </c>
      <c r="I53" s="22">
        <f t="shared" si="15"/>
        <v>0</v>
      </c>
      <c r="J53" s="22">
        <f t="shared" si="16"/>
        <v>0</v>
      </c>
      <c r="L53" s="1" t="s">
        <v>644</v>
      </c>
      <c r="M53" s="20">
        <f>COUNTIFS('S1 - Interventions'!$E:$E,B$6,'S1 - Interventions'!$AC:$AC,"&lt;&gt;None")</f>
        <v>9</v>
      </c>
      <c r="N53" s="20">
        <f>COUNTIFS('S1 - Interventions'!$E:$E,C$6,'S1 - Interventions'!$AC:$AC,"&lt;&gt;None")</f>
        <v>9</v>
      </c>
      <c r="O53" s="20">
        <f>COUNTIFS('S1 - Interventions'!$E:$E,D$6,'S1 - Interventions'!$AC:$AC,"&lt;&gt;None")</f>
        <v>3</v>
      </c>
      <c r="P53" s="27"/>
      <c r="Q53" s="1" t="s">
        <v>644</v>
      </c>
      <c r="R53" s="22">
        <f t="shared" si="17"/>
        <v>0.375</v>
      </c>
      <c r="S53" s="22">
        <f t="shared" si="17"/>
        <v>0.39130434782608697</v>
      </c>
      <c r="T53" s="22">
        <f t="shared" si="17"/>
        <v>0.5</v>
      </c>
    </row>
    <row r="54" spans="1:20" x14ac:dyDescent="0.25">
      <c r="A54" t="s">
        <v>645</v>
      </c>
      <c r="B54" s="20">
        <f>COUNTIFS('S1 - Interventions'!$E:$E,B$6,'S1 - Interventions'!$AC:$AC,"*Self-regulation*")</f>
        <v>0</v>
      </c>
      <c r="C54" s="20">
        <f>COUNTIFS('S1 - Interventions'!$E:$E,C$6,'S1 - Interventions'!$AC:$AC,"*Self-regulation*")</f>
        <v>2</v>
      </c>
      <c r="D54" s="20">
        <f>COUNTIFS('S1 - Interventions'!$E:$E,D$6,'S1 - Interventions'!$AC:$AC,"*Self-regulation*")</f>
        <v>0</v>
      </c>
      <c r="E54" s="25">
        <f t="shared" si="13"/>
        <v>2</v>
      </c>
      <c r="G54" t="s">
        <v>645</v>
      </c>
      <c r="H54" s="22">
        <f t="shared" si="14"/>
        <v>0</v>
      </c>
      <c r="I54" s="22">
        <f t="shared" si="15"/>
        <v>8.6956521739130432E-2</v>
      </c>
      <c r="J54" s="22">
        <f t="shared" si="16"/>
        <v>0</v>
      </c>
      <c r="L54" t="s">
        <v>763</v>
      </c>
      <c r="M54" s="20">
        <f>COUNTIFS('S1 - Interventions'!$E:$E,B$6,'S1 - Interventions'!$AC:$AC,"*, *")</f>
        <v>4</v>
      </c>
      <c r="N54" s="20">
        <f>COUNTIFS('S1 - Interventions'!$E:$E,C$6,'S1 - Interventions'!$AC:$AC,"*, *")</f>
        <v>3</v>
      </c>
      <c r="O54" s="20">
        <f>COUNTIFS('S1 - Interventions'!$E:$E,D$6,'S1 - Interventions'!$AC:$AC,"*, *")</f>
        <v>1</v>
      </c>
      <c r="Q54" t="s">
        <v>763</v>
      </c>
      <c r="R54" s="22">
        <f t="shared" ref="R54" si="18">M54/B$7</f>
        <v>0.16666666666666666</v>
      </c>
      <c r="S54" s="22">
        <f t="shared" ref="S54" si="19">N54/C$7</f>
        <v>0.13043478260869565</v>
      </c>
      <c r="T54" s="22">
        <f t="shared" ref="T54" si="20">O54/D$7</f>
        <v>0.16666666666666666</v>
      </c>
    </row>
    <row r="55" spans="1:20" x14ac:dyDescent="0.25">
      <c r="A55" t="s">
        <v>646</v>
      </c>
      <c r="B55" s="20">
        <f>COUNTIFS('S1 - Interventions'!$E:$E,B$6,'S1 - Interventions'!$AC:$AC,"*Self-efficacy*")</f>
        <v>1</v>
      </c>
      <c r="C55" s="20">
        <f>COUNTIFS('S1 - Interventions'!$E:$E,C$6,'S1 - Interventions'!$AC:$AC,"*Self-efficacy*")</f>
        <v>1</v>
      </c>
      <c r="D55" s="20">
        <f>COUNTIFS('S1 - Interventions'!$E:$E,D$6,'S1 - Interventions'!$AC:$AC,"*Self-efficacy*")</f>
        <v>1</v>
      </c>
      <c r="E55" s="25">
        <f t="shared" si="13"/>
        <v>3</v>
      </c>
      <c r="G55" t="s">
        <v>646</v>
      </c>
      <c r="H55" s="22">
        <f t="shared" si="14"/>
        <v>4.1666666666666664E-2</v>
      </c>
      <c r="I55" s="22">
        <f t="shared" si="15"/>
        <v>4.3478260869565216E-2</v>
      </c>
      <c r="J55" s="22">
        <f t="shared" si="16"/>
        <v>0.16666666666666666</v>
      </c>
    </row>
    <row r="56" spans="1:20" x14ac:dyDescent="0.25">
      <c r="A56" t="s">
        <v>402</v>
      </c>
      <c r="B56" s="20">
        <f>COUNTIFS('S1 - Interventions'!$E:$E,B$6,'S1 - Interventions'!$AC:$AC,"*Health Action Process*")</f>
        <v>2</v>
      </c>
      <c r="C56" s="20">
        <f>COUNTIFS('S1 - Interventions'!$E:$E,C$6,'S1 - Interventions'!$AC:$AC,"*Health Action Process*")</f>
        <v>0</v>
      </c>
      <c r="D56" s="20">
        <f>COUNTIFS('S1 - Interventions'!$E:$E,D$6,'S1 - Interventions'!$AC:$AC,"*Health Action Process*")</f>
        <v>0</v>
      </c>
      <c r="E56" s="25">
        <f t="shared" si="13"/>
        <v>2</v>
      </c>
      <c r="G56" t="s">
        <v>402</v>
      </c>
      <c r="H56" s="22">
        <f t="shared" si="14"/>
        <v>8.3333333333333329E-2</v>
      </c>
      <c r="I56" s="22">
        <f t="shared" si="15"/>
        <v>0</v>
      </c>
      <c r="J56" s="22">
        <f t="shared" si="16"/>
        <v>0</v>
      </c>
    </row>
    <row r="57" spans="1:20" x14ac:dyDescent="0.25">
      <c r="A57" t="s">
        <v>647</v>
      </c>
      <c r="B57" s="20">
        <f>COUNTIFS('S1 - Interventions'!$E:$E,B$6,'S1 - Interventions'!$AC:$AC,"*Health Belief Model*")</f>
        <v>3</v>
      </c>
      <c r="C57" s="20">
        <f>COUNTIFS('S1 - Interventions'!$E:$E,C$6,'S1 - Interventions'!$AC:$AC,"*Health Belief Model*")</f>
        <v>0</v>
      </c>
      <c r="D57" s="20">
        <f>COUNTIFS('S1 - Interventions'!$E:$E,D$6,'S1 - Interventions'!$AC:$AC,"*Health Belief Model*")</f>
        <v>0</v>
      </c>
      <c r="E57" s="25">
        <f t="shared" si="13"/>
        <v>3</v>
      </c>
      <c r="G57" t="s">
        <v>647</v>
      </c>
      <c r="H57" s="22">
        <f t="shared" si="14"/>
        <v>0.125</v>
      </c>
      <c r="I57" s="22">
        <f t="shared" si="15"/>
        <v>0</v>
      </c>
      <c r="J57" s="22">
        <f t="shared" si="16"/>
        <v>0</v>
      </c>
    </row>
    <row r="58" spans="1:20" x14ac:dyDescent="0.25">
      <c r="A58" s="43" t="s">
        <v>100</v>
      </c>
      <c r="B58" s="20">
        <f>COUNTIFS('S1 - Interventions'!$E:$E,B$6,'S1 - Interventions'!$AC:$AC,"*Protection Motivation Theory*")</f>
        <v>2</v>
      </c>
      <c r="C58" s="20">
        <f>COUNTIFS('S1 - Interventions'!$E:$E,C$6,'S1 - Interventions'!$AC:$AC,"*Protection Motivation Theory*")</f>
        <v>1</v>
      </c>
      <c r="D58" s="20">
        <f>COUNTIFS('S1 - Interventions'!$E:$E,D$6,'S1 - Interventions'!$AC:$AC,"*Protection Motivation Theory*")</f>
        <v>0</v>
      </c>
      <c r="E58" s="25">
        <f t="shared" si="13"/>
        <v>3</v>
      </c>
      <c r="G58" s="43" t="s">
        <v>100</v>
      </c>
      <c r="H58" s="22">
        <f t="shared" si="14"/>
        <v>8.3333333333333329E-2</v>
      </c>
      <c r="I58" s="22">
        <f t="shared" si="15"/>
        <v>4.3478260869565216E-2</v>
      </c>
      <c r="J58" s="22">
        <f t="shared" si="16"/>
        <v>0</v>
      </c>
    </row>
    <row r="59" spans="1:20" x14ac:dyDescent="0.25">
      <c r="A59" s="43" t="s">
        <v>648</v>
      </c>
      <c r="B59" s="20">
        <f>COUNTIFS('S1 - Interventions'!$E:$E,B$6,'S1 - Interventions'!$AC:$AC,"*Theory of planned behavior*")</f>
        <v>1</v>
      </c>
      <c r="C59" s="20">
        <f>COUNTIFS('S1 - Interventions'!$E:$E,C$6,'S1 - Interventions'!$AC:$AC,"*Theory of planned behavior*")</f>
        <v>1</v>
      </c>
      <c r="D59" s="20">
        <f>COUNTIFS('S1 - Interventions'!$E:$E,D$6,'S1 - Interventions'!$AC:$AC,"*Theory of planned behavior*")</f>
        <v>0</v>
      </c>
      <c r="E59" s="25">
        <f t="shared" si="13"/>
        <v>2</v>
      </c>
      <c r="G59" s="43" t="s">
        <v>648</v>
      </c>
      <c r="H59" s="22">
        <f t="shared" si="14"/>
        <v>4.1666666666666664E-2</v>
      </c>
      <c r="I59" s="22">
        <f t="shared" si="15"/>
        <v>4.3478260869565216E-2</v>
      </c>
      <c r="J59" s="22">
        <f t="shared" si="16"/>
        <v>0</v>
      </c>
    </row>
    <row r="60" spans="1:20" x14ac:dyDescent="0.25">
      <c r="A60" s="43" t="s">
        <v>649</v>
      </c>
      <c r="B60" s="20">
        <f>COUNTIFS('S1 - Interventions'!$E:$E,B$6,'S1 - Interventions'!$AC:$AC,"*Prototype*")</f>
        <v>1</v>
      </c>
      <c r="C60" s="20">
        <f>COUNTIFS('S1 - Interventions'!$E:$E,C$6,'S1 - Interventions'!$AC:$AC,"*Prototype*")</f>
        <v>0</v>
      </c>
      <c r="D60" s="20">
        <f>COUNTIFS('S1 - Interventions'!$E:$E,D$6,'S1 - Interventions'!$AC:$AC,"*Prototype*")</f>
        <v>0</v>
      </c>
      <c r="E60" s="25">
        <f t="shared" si="13"/>
        <v>1</v>
      </c>
      <c r="G60" s="43" t="s">
        <v>649</v>
      </c>
      <c r="H60" s="22">
        <f t="shared" si="14"/>
        <v>4.1666666666666664E-2</v>
      </c>
      <c r="I60" s="22">
        <f t="shared" si="15"/>
        <v>0</v>
      </c>
      <c r="J60" s="22">
        <f t="shared" si="16"/>
        <v>0</v>
      </c>
    </row>
    <row r="61" spans="1:20" x14ac:dyDescent="0.25">
      <c r="A61" s="6" t="s">
        <v>285</v>
      </c>
      <c r="B61" s="20">
        <f>COUNTIFS('S1 - Interventions'!$E:$E,B$6,'S1 - Interventions'!$AC:$AC,"*Extended parallel*")</f>
        <v>0</v>
      </c>
      <c r="C61" s="20">
        <f>COUNTIFS('S1 - Interventions'!$E:$E,C$6,'S1 - Interventions'!$AC:$AC,"*Extended parallel*")</f>
        <v>0</v>
      </c>
      <c r="D61" s="20">
        <f>COUNTIFS('S1 - Interventions'!$E:$E,D$6,'S1 - Interventions'!$AC:$AC,"*Extended parallel*")</f>
        <v>1</v>
      </c>
      <c r="E61" s="25">
        <f t="shared" si="13"/>
        <v>1</v>
      </c>
      <c r="G61" s="6" t="s">
        <v>285</v>
      </c>
      <c r="H61" s="22">
        <f t="shared" si="14"/>
        <v>0</v>
      </c>
      <c r="I61" s="22">
        <f t="shared" si="15"/>
        <v>0</v>
      </c>
      <c r="J61" s="22">
        <f t="shared" si="16"/>
        <v>0.16666666666666666</v>
      </c>
    </row>
    <row r="62" spans="1:20" x14ac:dyDescent="0.25">
      <c r="A62" s="6" t="s">
        <v>650</v>
      </c>
      <c r="B62" s="20">
        <f>COUNTIFS('S1 - Interventions'!$E:$E,B$6,'S1 - Interventions'!$AC:$AC,"*IMB Model*")</f>
        <v>0</v>
      </c>
      <c r="C62" s="20">
        <f>COUNTIFS('S1 - Interventions'!$E:$E,C$6,'S1 - Interventions'!$AC:$AC,"*IMB Model*")</f>
        <v>1</v>
      </c>
      <c r="D62" s="20">
        <f>COUNTIFS('S1 - Interventions'!$E:$E,D$6,'S1 - Interventions'!$AC:$AC,"*IMB Model*")</f>
        <v>0</v>
      </c>
      <c r="E62" s="25">
        <f t="shared" si="13"/>
        <v>1</v>
      </c>
      <c r="G62" s="6" t="s">
        <v>650</v>
      </c>
      <c r="H62" s="22">
        <f t="shared" si="14"/>
        <v>0</v>
      </c>
      <c r="I62" s="22">
        <f t="shared" si="15"/>
        <v>4.3478260869565216E-2</v>
      </c>
      <c r="J62" s="22">
        <f t="shared" si="16"/>
        <v>0</v>
      </c>
    </row>
    <row r="63" spans="1:20" x14ac:dyDescent="0.25">
      <c r="A63" s="43" t="s">
        <v>651</v>
      </c>
      <c r="B63" s="20">
        <f>COUNTIFS('S1 - Interventions'!$E:$E,B$6,'S1 - Interventions'!$AC:$AC,"*BUS framework*")</f>
        <v>0</v>
      </c>
      <c r="C63" s="20">
        <f>COUNTIFS('S1 - Interventions'!$E:$E,C$6,'S1 - Interventions'!$AC:$AC,"*BUS framework*")</f>
        <v>1</v>
      </c>
      <c r="D63" s="20">
        <f>COUNTIFS('S1 - Interventions'!$E:$E,D$6,'S1 - Interventions'!$AC:$AC,"*BUS framework*")</f>
        <v>0</v>
      </c>
      <c r="E63" s="25">
        <f t="shared" si="13"/>
        <v>1</v>
      </c>
      <c r="G63" s="43" t="s">
        <v>651</v>
      </c>
      <c r="H63" s="22">
        <f t="shared" si="14"/>
        <v>0</v>
      </c>
      <c r="I63" s="22">
        <f t="shared" si="15"/>
        <v>4.3478260869565216E-2</v>
      </c>
      <c r="J63" s="22">
        <f t="shared" si="16"/>
        <v>0</v>
      </c>
    </row>
    <row r="64" spans="1:20" x14ac:dyDescent="0.25">
      <c r="A64" s="6" t="s">
        <v>175</v>
      </c>
      <c r="B64" s="20">
        <f>COUNTIFS('S1 - Interventions'!$E:$E,B$6,'S1 - Interventions'!$AC:$AC,"*Focus theory of normative*")</f>
        <v>0</v>
      </c>
      <c r="C64" s="20">
        <f>COUNTIFS('S1 - Interventions'!$E:$E,C$6,'S1 - Interventions'!$AC:$AC,"*Focus theory of normative*")</f>
        <v>1</v>
      </c>
      <c r="D64" s="20">
        <f>COUNTIFS('S1 - Interventions'!$E:$E,D$6,'S1 - Interventions'!$AC:$AC,"*Focus theory of normative*")</f>
        <v>0</v>
      </c>
      <c r="E64" s="25">
        <f t="shared" si="13"/>
        <v>1</v>
      </c>
      <c r="G64" s="6" t="s">
        <v>175</v>
      </c>
      <c r="H64" s="22">
        <f t="shared" si="14"/>
        <v>0</v>
      </c>
      <c r="I64" s="22">
        <f t="shared" si="15"/>
        <v>4.3478260869565216E-2</v>
      </c>
      <c r="J64" s="22">
        <f t="shared" si="16"/>
        <v>0</v>
      </c>
    </row>
    <row r="65" spans="1:20" x14ac:dyDescent="0.25">
      <c r="A65" t="s">
        <v>652</v>
      </c>
      <c r="B65" s="20">
        <f>COUNTIFS('S1 - Interventions'!$E:$E,B$6,'S1 - Interventions'!$AC:$AC,"*Social Learning Theory*")</f>
        <v>1</v>
      </c>
      <c r="C65" s="20">
        <f>COUNTIFS('S1 - Interventions'!$E:$E,C$6,'S1 - Interventions'!$AC:$AC,"*Social Learning Theory*")</f>
        <v>0</v>
      </c>
      <c r="D65" s="20">
        <f>COUNTIFS('S1 - Interventions'!$E:$E,D$6,'S1 - Interventions'!$AC:$AC,"*Social Learning Theory*")</f>
        <v>0</v>
      </c>
      <c r="E65" s="25">
        <f t="shared" si="13"/>
        <v>1</v>
      </c>
      <c r="G65" t="s">
        <v>652</v>
      </c>
      <c r="H65" s="22">
        <f t="shared" si="14"/>
        <v>4.1666666666666664E-2</v>
      </c>
      <c r="I65" s="22">
        <f t="shared" si="15"/>
        <v>0</v>
      </c>
      <c r="J65" s="22">
        <f t="shared" si="16"/>
        <v>0</v>
      </c>
    </row>
    <row r="66" spans="1:20" x14ac:dyDescent="0.25">
      <c r="A66" t="s">
        <v>653</v>
      </c>
      <c r="B66" s="20">
        <f>COUNTIFS('S1 - Interventions'!$E:$E,B$6,'S1 - Interventions'!$AC:$AC,"*Social Cognitive Theory*")</f>
        <v>0</v>
      </c>
      <c r="C66" s="20">
        <f>COUNTIFS('S1 - Interventions'!$E:$E,C$6,'S1 - Interventions'!$AC:$AC,"*Social Cognitive Theory*")</f>
        <v>1</v>
      </c>
      <c r="D66" s="20">
        <f>COUNTIFS('S1 - Interventions'!$E:$E,D$6,'S1 - Interventions'!$AC:$AC,"*Social Cognitive Theory*")</f>
        <v>0</v>
      </c>
      <c r="E66" s="25">
        <f t="shared" si="13"/>
        <v>1</v>
      </c>
      <c r="G66" t="s">
        <v>653</v>
      </c>
      <c r="H66" s="22">
        <f t="shared" si="14"/>
        <v>0</v>
      </c>
      <c r="I66" s="22">
        <f t="shared" si="15"/>
        <v>4.3478260869565216E-2</v>
      </c>
      <c r="J66" s="22">
        <f t="shared" si="16"/>
        <v>0</v>
      </c>
      <c r="N66"/>
      <c r="O66"/>
      <c r="P66"/>
      <c r="R66"/>
      <c r="S66"/>
      <c r="T66"/>
    </row>
    <row r="67" spans="1:20" x14ac:dyDescent="0.25">
      <c r="A67" t="s">
        <v>654</v>
      </c>
      <c r="B67" s="20">
        <f>COUNTIFS('S1 - Interventions'!$E:$E,B$6,'S1 - Interventions'!$AC:$AC,"*Common sense model*")</f>
        <v>0</v>
      </c>
      <c r="C67" s="20">
        <f>COUNTIFS('S1 - Interventions'!$E:$E,C$6,'S1 - Interventions'!$AC:$AC,"*Common sense model*")</f>
        <v>1</v>
      </c>
      <c r="D67" s="20">
        <f>COUNTIFS('S1 - Interventions'!$E:$E,D$6,'S1 - Interventions'!$AC:$AC,"*Common sense model*")</f>
        <v>0</v>
      </c>
      <c r="E67" s="25">
        <f t="shared" si="13"/>
        <v>1</v>
      </c>
      <c r="G67" t="s">
        <v>654</v>
      </c>
      <c r="H67" s="22">
        <f t="shared" si="14"/>
        <v>0</v>
      </c>
      <c r="I67" s="22">
        <f t="shared" si="15"/>
        <v>4.3478260869565216E-2</v>
      </c>
      <c r="J67" s="22">
        <f t="shared" si="16"/>
        <v>0</v>
      </c>
      <c r="N67"/>
      <c r="O67"/>
      <c r="P67"/>
      <c r="R67"/>
      <c r="S67"/>
      <c r="T67"/>
    </row>
    <row r="68" spans="1:20" ht="15" customHeight="1" x14ac:dyDescent="0.25">
      <c r="N68"/>
      <c r="O68"/>
      <c r="P68"/>
      <c r="R68"/>
      <c r="S68"/>
      <c r="T68"/>
    </row>
    <row r="69" spans="1:20" ht="15" customHeight="1" x14ac:dyDescent="0.25">
      <c r="A69" s="15" t="s">
        <v>655</v>
      </c>
      <c r="B69" s="33"/>
      <c r="C69" s="33"/>
      <c r="D69" s="33"/>
      <c r="E69" s="40"/>
      <c r="F69" s="40"/>
      <c r="G69" s="15" t="s">
        <v>655</v>
      </c>
      <c r="H69" s="40"/>
      <c r="I69" s="40"/>
      <c r="J69" s="40"/>
      <c r="N69"/>
      <c r="O69"/>
      <c r="P69"/>
      <c r="R69"/>
      <c r="S69"/>
      <c r="T69"/>
    </row>
    <row r="70" spans="1:20" ht="15" customHeight="1" x14ac:dyDescent="0.25">
      <c r="A70" s="43" t="s">
        <v>656</v>
      </c>
      <c r="B70" s="20">
        <f>COUNTIFS('S1 - Interventions'!$E:$E,B$6,'S1 - Interventions'!$AD:$AD,"*awareness of consequences*")</f>
        <v>18</v>
      </c>
      <c r="C70" s="20">
        <f>COUNTIFS('S1 - Interventions'!$E:$E,C$6,'S1 - Interventions'!$AD:$AD,"*Social*")</f>
        <v>9</v>
      </c>
      <c r="D70" s="20">
        <f>COUNTIFS('S1 - Interventions'!$E:$E,D$6,'S1 - Interventions'!$AD:$AD,"*Social*")</f>
        <v>3</v>
      </c>
      <c r="E70" s="25">
        <f t="shared" ref="E70:E80" si="21">SUM(B70:D70)</f>
        <v>30</v>
      </c>
      <c r="G70" t="s">
        <v>656</v>
      </c>
      <c r="H70" s="22">
        <f t="shared" ref="H70:H80" si="22">B70/B$7</f>
        <v>0.75</v>
      </c>
      <c r="I70" s="22">
        <f t="shared" ref="I70:I80" si="23">C70/C$7</f>
        <v>0.39130434782608697</v>
      </c>
      <c r="J70" s="22">
        <f t="shared" ref="J70:J80" si="24">D70/D$7</f>
        <v>0.5</v>
      </c>
      <c r="N70"/>
      <c r="O70"/>
      <c r="P70"/>
      <c r="R70"/>
      <c r="S70"/>
      <c r="T70"/>
    </row>
    <row r="71" spans="1:20" ht="15" customHeight="1" x14ac:dyDescent="0.25">
      <c r="A71" t="s">
        <v>657</v>
      </c>
      <c r="B71" s="20">
        <f>COUNTIFS('S1 - Interventions'!$E:$E,B$6,'S1 - Interventions'!$AD:$AD,"*social*")</f>
        <v>7</v>
      </c>
      <c r="C71" s="20">
        <f>COUNTIFS('S1 - Interventions'!$E:$E,C$6,'S1 - Interventions'!$AD:$AD,"*social*")</f>
        <v>9</v>
      </c>
      <c r="D71" s="20">
        <f>COUNTIFS('S1 - Interventions'!$E:$E,D$6,'S1 - Interventions'!$AD:$AD,"*social*")</f>
        <v>3</v>
      </c>
      <c r="E71" s="25">
        <f t="shared" si="21"/>
        <v>19</v>
      </c>
      <c r="G71" t="s">
        <v>657</v>
      </c>
      <c r="H71" s="22">
        <f t="shared" si="22"/>
        <v>0.29166666666666669</v>
      </c>
      <c r="I71" s="22">
        <f t="shared" si="23"/>
        <v>0.39130434782608697</v>
      </c>
      <c r="J71" s="22">
        <f t="shared" si="24"/>
        <v>0.5</v>
      </c>
      <c r="N71"/>
      <c r="O71"/>
      <c r="P71"/>
      <c r="R71"/>
      <c r="S71"/>
      <c r="T71"/>
    </row>
    <row r="72" spans="1:20" ht="15" customHeight="1" x14ac:dyDescent="0.25">
      <c r="A72" t="s">
        <v>53</v>
      </c>
      <c r="B72" s="20">
        <f>COUNTIFS('S1 - Interventions'!$E:$E,B$6,'S1 - Interventions'!$AD:$AD,"*Goal*")</f>
        <v>11</v>
      </c>
      <c r="C72" s="20">
        <f>COUNTIFS('S1 - Interventions'!$E:$E,C$6,'S1 - Interventions'!$AD:$AD,"*Goal*")</f>
        <v>3</v>
      </c>
      <c r="D72" s="20">
        <f>COUNTIFS('S1 - Interventions'!$E:$E,D$6,'S1 - Interventions'!$AD:$AD,"*Goal*")</f>
        <v>2</v>
      </c>
      <c r="E72" s="25">
        <f t="shared" si="21"/>
        <v>16</v>
      </c>
      <c r="G72" t="s">
        <v>53</v>
      </c>
      <c r="H72" s="22">
        <f t="shared" si="22"/>
        <v>0.45833333333333331</v>
      </c>
      <c r="I72" s="22">
        <f t="shared" si="23"/>
        <v>0.13043478260869565</v>
      </c>
      <c r="J72" s="22">
        <f t="shared" si="24"/>
        <v>0.33333333333333331</v>
      </c>
    </row>
    <row r="73" spans="1:20" ht="15" customHeight="1" x14ac:dyDescent="0.25">
      <c r="A73" t="s">
        <v>658</v>
      </c>
      <c r="B73" s="20">
        <f>COUNTIFS('S1 - Interventions'!$E:$E,B$6,'S1 - Interventions'!$AD:$AD,"*monitoring*")</f>
        <v>6</v>
      </c>
      <c r="C73" s="20">
        <f>COUNTIFS('S1 - Interventions'!$E:$E,C$6,'S1 - Interventions'!$AD:$AD,"*monitoring*")</f>
        <v>7</v>
      </c>
      <c r="D73" s="20">
        <f>COUNTIFS('S1 - Interventions'!$E:$E,D$6,'S1 - Interventions'!$AD:$AD,"*monitoring*")</f>
        <v>1</v>
      </c>
      <c r="E73" s="25">
        <f t="shared" si="21"/>
        <v>14</v>
      </c>
      <c r="G73" t="s">
        <v>658</v>
      </c>
      <c r="H73" s="22">
        <f t="shared" si="22"/>
        <v>0.25</v>
      </c>
      <c r="I73" s="22">
        <f t="shared" si="23"/>
        <v>0.30434782608695654</v>
      </c>
      <c r="J73" s="22">
        <f t="shared" si="24"/>
        <v>0.16666666666666666</v>
      </c>
    </row>
    <row r="74" spans="1:20" ht="15" customHeight="1" x14ac:dyDescent="0.25">
      <c r="A74" t="s">
        <v>659</v>
      </c>
      <c r="B74" s="20">
        <f>COUNTIFS('S1 - Interventions'!$E:$E,B$6,'S1 - Interventions'!$AD:$AD,"*awareness of behaviour*")</f>
        <v>4</v>
      </c>
      <c r="C74" s="20">
        <f>COUNTIFS('S1 - Interventions'!$E:$E,C$6,'S1 - Interventions'!$AD:$AD,"*awareness of behaviour*")</f>
        <v>3</v>
      </c>
      <c r="D74" s="20">
        <f>COUNTIFS('S1 - Interventions'!$E:$E,D$6,'S1 - Interventions'!$AD:$AD,"*awareness of behaviour*")</f>
        <v>4</v>
      </c>
      <c r="E74" s="25">
        <f t="shared" si="21"/>
        <v>11</v>
      </c>
      <c r="G74" t="s">
        <v>659</v>
      </c>
      <c r="H74" s="22">
        <f t="shared" si="22"/>
        <v>0.16666666666666666</v>
      </c>
      <c r="I74" s="22">
        <f t="shared" si="23"/>
        <v>0.13043478260869565</v>
      </c>
      <c r="J74" s="22">
        <f t="shared" si="24"/>
        <v>0.66666666666666663</v>
      </c>
    </row>
    <row r="75" spans="1:20" ht="15" customHeight="1" x14ac:dyDescent="0.25">
      <c r="A75" s="43" t="s">
        <v>660</v>
      </c>
      <c r="B75" s="20">
        <f>COUNTIFS('S1 - Interventions'!$E:$E,B$6,'S1 - Interventions'!$AD:$AD,"*Guide how to*")</f>
        <v>3</v>
      </c>
      <c r="C75" s="20">
        <f>COUNTIFS('S1 - Interventions'!$E:$E,C$6,'S1 - Interventions'!$AD:$AD,"*Guide how to*")</f>
        <v>4</v>
      </c>
      <c r="D75" s="20">
        <f>COUNTIFS('S1 - Interventions'!$E:$E,D$6,'S1 - Interventions'!$AD:$AD,"*Guide how to*")</f>
        <v>1</v>
      </c>
      <c r="E75" s="25">
        <f t="shared" si="21"/>
        <v>8</v>
      </c>
      <c r="G75" t="s">
        <v>660</v>
      </c>
      <c r="H75" s="22">
        <f t="shared" si="22"/>
        <v>0.125</v>
      </c>
      <c r="I75" s="22">
        <f t="shared" si="23"/>
        <v>0.17391304347826086</v>
      </c>
      <c r="J75" s="22">
        <f t="shared" si="24"/>
        <v>0.16666666666666666</v>
      </c>
    </row>
    <row r="76" spans="1:20" ht="15" customHeight="1" x14ac:dyDescent="0.25">
      <c r="A76" t="s">
        <v>661</v>
      </c>
      <c r="B76" s="20">
        <f>COUNTIFS('S1 - Interventions'!$E:$E,B$6,'S1 - Interventions'!$AD:$AD,"*outcome consequence*")</f>
        <v>2</v>
      </c>
      <c r="C76" s="20">
        <f>COUNTIFS('S1 - Interventions'!$E:$E,C$6,'S1 - Interventions'!$AD:$AD,"*outcome consequence*")</f>
        <v>3</v>
      </c>
      <c r="D76" s="20">
        <f>COUNTIFS('S1 - Interventions'!$E:$E,D$6,'S1 - Interventions'!$AD:$AD,"*outcome consequence*")</f>
        <v>1</v>
      </c>
      <c r="E76" s="25">
        <f t="shared" si="21"/>
        <v>6</v>
      </c>
      <c r="G76" t="s">
        <v>661</v>
      </c>
      <c r="H76" s="22">
        <f t="shared" si="22"/>
        <v>8.3333333333333329E-2</v>
      </c>
      <c r="I76" s="22">
        <f t="shared" si="23"/>
        <v>0.13043478260869565</v>
      </c>
      <c r="J76" s="22">
        <f t="shared" si="24"/>
        <v>0.16666666666666666</v>
      </c>
    </row>
    <row r="77" spans="1:20" ht="15" customHeight="1" x14ac:dyDescent="0.25">
      <c r="A77" s="43" t="s">
        <v>662</v>
      </c>
      <c r="B77" s="20">
        <f>COUNTIFS('S1 - Interventions'!$E:$E,B$6,'S1 - Interventions'!$AD:$AD,"*advise specific*")</f>
        <v>3</v>
      </c>
      <c r="C77" s="20">
        <f>COUNTIFS('S1 - Interventions'!$E:$E,C$6,'S1 - Interventions'!$AD:$AD,"*advise specific*")</f>
        <v>1</v>
      </c>
      <c r="D77" s="20">
        <f>COUNTIFS('S1 - Interventions'!$E:$E,D$6,'S1 - Interventions'!$AD:$AD,"*advise specific*")</f>
        <v>0</v>
      </c>
      <c r="E77" s="25">
        <f t="shared" si="21"/>
        <v>4</v>
      </c>
      <c r="G77" t="s">
        <v>662</v>
      </c>
      <c r="H77" s="22">
        <f t="shared" si="22"/>
        <v>0.125</v>
      </c>
      <c r="I77" s="22">
        <f t="shared" si="23"/>
        <v>4.3478260869565216E-2</v>
      </c>
      <c r="J77" s="22">
        <f t="shared" si="24"/>
        <v>0</v>
      </c>
    </row>
    <row r="78" spans="1:20" ht="15" customHeight="1" x14ac:dyDescent="0.25">
      <c r="A78" t="s">
        <v>663</v>
      </c>
      <c r="B78" s="20">
        <f>COUNTIFS('S1 - Interventions'!$E:$E,B$6,'S1 - Interventions'!$AD:$AD,"*change emotions*")</f>
        <v>1</v>
      </c>
      <c r="C78" s="20">
        <f>COUNTIFS('S1 - Interventions'!$E:$E,C$6,'S1 - Interventions'!$AD:$AD,"*change emotions*")</f>
        <v>0</v>
      </c>
      <c r="D78" s="20">
        <f>COUNTIFS('S1 - Interventions'!$E:$E,D$6,'S1 - Interventions'!$AD:$AD,"*change emotions*")</f>
        <v>0</v>
      </c>
      <c r="E78" s="25">
        <f t="shared" si="21"/>
        <v>1</v>
      </c>
      <c r="G78" t="s">
        <v>663</v>
      </c>
      <c r="H78" s="22">
        <f t="shared" si="22"/>
        <v>4.1666666666666664E-2</v>
      </c>
      <c r="I78" s="22">
        <f t="shared" si="23"/>
        <v>0</v>
      </c>
      <c r="J78" s="22">
        <f t="shared" si="24"/>
        <v>0</v>
      </c>
    </row>
    <row r="79" spans="1:20" ht="15" customHeight="1" x14ac:dyDescent="0.25">
      <c r="A79" t="s">
        <v>664</v>
      </c>
      <c r="B79" s="20">
        <f>COUNTIFS('S1 - Interventions'!$E:$E,B$6,'S1 - Interventions'!$AD:$AD,"*Prompt thinking related to*")</f>
        <v>1</v>
      </c>
      <c r="C79" s="20">
        <f>COUNTIFS('S1 - Interventions'!$E:$E,C$6,'S1 - Interventions'!$AD:$AD,"*Prompt thinking related to*")</f>
        <v>0</v>
      </c>
      <c r="D79" s="20">
        <f>COUNTIFS('S1 - Interventions'!$E:$E,D$6,'S1 - Interventions'!$AD:$AD,"*Prompt thinking related to*")</f>
        <v>0</v>
      </c>
      <c r="E79" s="25">
        <f t="shared" si="21"/>
        <v>1</v>
      </c>
      <c r="G79" t="s">
        <v>664</v>
      </c>
      <c r="H79" s="22">
        <f t="shared" si="22"/>
        <v>4.1666666666666664E-2</v>
      </c>
      <c r="I79" s="22">
        <f t="shared" si="23"/>
        <v>0</v>
      </c>
      <c r="J79" s="22">
        <f t="shared" si="24"/>
        <v>0</v>
      </c>
    </row>
    <row r="80" spans="1:20" ht="15" customHeight="1" x14ac:dyDescent="0.25">
      <c r="A80" s="43" t="s">
        <v>665</v>
      </c>
      <c r="B80" s="20">
        <f>COUNTIFS('S1 - Interventions'!$E:$E,B$6,'S1 - Interventions'!$AD:$AD,"*Promote pharmacological*")</f>
        <v>0</v>
      </c>
      <c r="C80" s="20">
        <f>COUNTIFS('S1 - Interventions'!$E:$E,C$6,'S1 - Interventions'!$AD:$AD,"*Promote pharmacological*")</f>
        <v>1</v>
      </c>
      <c r="D80" s="20">
        <f>COUNTIFS('S1 - Interventions'!$E:$E,D$6,'S1 - Interventions'!$AD:$AD,"*Promote pharmacological*")</f>
        <v>0</v>
      </c>
      <c r="E80" s="25">
        <f t="shared" si="21"/>
        <v>1</v>
      </c>
      <c r="G80" t="s">
        <v>665</v>
      </c>
      <c r="H80" s="22">
        <f t="shared" si="22"/>
        <v>0</v>
      </c>
      <c r="I80" s="22">
        <f t="shared" si="23"/>
        <v>4.3478260869565216E-2</v>
      </c>
      <c r="J80" s="22">
        <f t="shared" si="24"/>
        <v>0</v>
      </c>
    </row>
    <row r="81" spans="1:20" ht="15" customHeight="1" x14ac:dyDescent="0.25">
      <c r="A81" s="15" t="s">
        <v>666</v>
      </c>
      <c r="B81" s="33"/>
      <c r="C81" s="33"/>
      <c r="D81" s="33"/>
      <c r="E81" s="40"/>
      <c r="F81" s="40"/>
      <c r="G81" s="15" t="s">
        <v>666</v>
      </c>
      <c r="H81" s="40"/>
      <c r="I81" s="40"/>
      <c r="J81" s="40"/>
      <c r="L81" s="15" t="s">
        <v>666</v>
      </c>
      <c r="M81" s="33"/>
      <c r="N81" s="33"/>
      <c r="O81" s="33"/>
      <c r="P81" s="40"/>
      <c r="Q81" s="15" t="s">
        <v>666</v>
      </c>
      <c r="R81" s="40"/>
      <c r="S81" s="40"/>
      <c r="T81" s="40"/>
    </row>
    <row r="82" spans="1:20" ht="15" customHeight="1" x14ac:dyDescent="0.25">
      <c r="A82" s="6" t="s">
        <v>614</v>
      </c>
      <c r="B82" s="20">
        <f>COUNTIFS('S1 - Interventions'!$E:$E,B$6,'S1 - Interventions'!$AE:$AE,"1")</f>
        <v>6</v>
      </c>
      <c r="C82" s="20">
        <f>COUNTIFS('S1 - Interventions'!$E:$E,C$6,'S1 - Interventions'!$AE:$AE,"1")</f>
        <v>9</v>
      </c>
      <c r="D82" s="20">
        <f>COUNTIFS('S1 - Interventions'!$E:$E,D$6,'S1 - Interventions'!$AE:$AE,"1")</f>
        <v>2</v>
      </c>
      <c r="E82" s="25">
        <f t="shared" ref="E82:E87" si="25">SUM(B82:D82)</f>
        <v>17</v>
      </c>
      <c r="G82" s="6" t="s">
        <v>614</v>
      </c>
      <c r="H82" s="22">
        <f t="shared" ref="H82:H86" si="26">B82/B$7</f>
        <v>0.25</v>
      </c>
      <c r="I82" s="22">
        <f t="shared" ref="I82:I86" si="27">C82/C$7</f>
        <v>0.39130434782608697</v>
      </c>
      <c r="J82" s="22">
        <f t="shared" ref="J82:J86" si="28">D82/D$7</f>
        <v>0.33333333333333331</v>
      </c>
      <c r="L82" t="s">
        <v>667</v>
      </c>
      <c r="M82" s="20">
        <f>SUM(B82:B84)</f>
        <v>19</v>
      </c>
      <c r="N82" s="20">
        <f t="shared" ref="N82:O82" si="29">SUM(C82:C84)</f>
        <v>21</v>
      </c>
      <c r="O82" s="20">
        <f t="shared" si="29"/>
        <v>5</v>
      </c>
      <c r="Q82" t="s">
        <v>667</v>
      </c>
      <c r="R82" s="22">
        <f t="shared" ref="R82:R83" si="30">M82/B$7</f>
        <v>0.79166666666666663</v>
      </c>
      <c r="S82" s="22">
        <f t="shared" ref="S82:S83" si="31">N82/C$7</f>
        <v>0.91304347826086951</v>
      </c>
      <c r="T82" s="22">
        <f t="shared" ref="T82:T83" si="32">O82/D$7</f>
        <v>0.83333333333333337</v>
      </c>
    </row>
    <row r="83" spans="1:20" ht="15" customHeight="1" x14ac:dyDescent="0.25">
      <c r="A83" s="6" t="s">
        <v>615</v>
      </c>
      <c r="B83" s="20">
        <f>COUNTIFS('S1 - Interventions'!$E:$E,B$6,'S1 - Interventions'!$AE:$AE,"2")</f>
        <v>8</v>
      </c>
      <c r="C83" s="20">
        <f>COUNTIFS('S1 - Interventions'!$E:$E,C$6,'S1 - Interventions'!$AE:$AE,"2")</f>
        <v>7</v>
      </c>
      <c r="D83" s="20">
        <f>COUNTIFS('S1 - Interventions'!$E:$E,D$6,'S1 - Interventions'!$AE:$AE,"2")</f>
        <v>2</v>
      </c>
      <c r="E83" s="25">
        <f t="shared" si="25"/>
        <v>17</v>
      </c>
      <c r="G83" s="6" t="s">
        <v>615</v>
      </c>
      <c r="H83" s="22">
        <f t="shared" si="26"/>
        <v>0.33333333333333331</v>
      </c>
      <c r="I83" s="22">
        <f t="shared" si="27"/>
        <v>0.30434782608695654</v>
      </c>
      <c r="J83" s="22">
        <f t="shared" si="28"/>
        <v>0.33333333333333331</v>
      </c>
      <c r="L83" t="s">
        <v>668</v>
      </c>
      <c r="M83" s="20">
        <f>SUM(B85:B87)</f>
        <v>5</v>
      </c>
      <c r="N83" s="20">
        <f t="shared" ref="N83:O83" si="33">SUM(C85:C87)</f>
        <v>2</v>
      </c>
      <c r="O83" s="20">
        <f t="shared" si="33"/>
        <v>1</v>
      </c>
      <c r="Q83" t="s">
        <v>668</v>
      </c>
      <c r="R83" s="22">
        <f t="shared" si="30"/>
        <v>0.20833333333333334</v>
      </c>
      <c r="S83" s="22">
        <f t="shared" si="31"/>
        <v>8.6956521739130432E-2</v>
      </c>
      <c r="T83" s="22">
        <f t="shared" si="32"/>
        <v>0.16666666666666666</v>
      </c>
    </row>
    <row r="84" spans="1:20" ht="15" customHeight="1" x14ac:dyDescent="0.25">
      <c r="A84" s="6" t="s">
        <v>617</v>
      </c>
      <c r="B84" s="20">
        <f>COUNTIFS('S1 - Interventions'!$E:$E,B$6,'S1 - Interventions'!$AE:$AE,"3")</f>
        <v>5</v>
      </c>
      <c r="C84" s="20">
        <f>COUNTIFS('S1 - Interventions'!$E:$E,C$6,'S1 - Interventions'!$AE:$AE,"3")</f>
        <v>5</v>
      </c>
      <c r="D84" s="20">
        <f>COUNTIFS('S1 - Interventions'!$E:$E,D$6,'S1 - Interventions'!$AE:$AE,"3")</f>
        <v>1</v>
      </c>
      <c r="E84" s="25">
        <f t="shared" si="25"/>
        <v>11</v>
      </c>
      <c r="G84" s="6" t="s">
        <v>617</v>
      </c>
      <c r="H84" s="22">
        <f t="shared" si="26"/>
        <v>0.20833333333333334</v>
      </c>
      <c r="I84" s="22">
        <f t="shared" si="27"/>
        <v>0.21739130434782608</v>
      </c>
      <c r="J84" s="22">
        <f t="shared" si="28"/>
        <v>0.16666666666666666</v>
      </c>
    </row>
    <row r="85" spans="1:20" ht="15" customHeight="1" x14ac:dyDescent="0.25">
      <c r="A85" s="6" t="s">
        <v>618</v>
      </c>
      <c r="B85" s="20">
        <f>COUNTIFS('S1 - Interventions'!$E:$E,B$6,'S1 - Interventions'!$AE:$AE,"4")</f>
        <v>5</v>
      </c>
      <c r="C85" s="20">
        <f>COUNTIFS('S1 - Interventions'!$E:$E,C$6,'S1 - Interventions'!$AE:$AE,"4")</f>
        <v>1</v>
      </c>
      <c r="D85" s="20">
        <f>COUNTIFS('S1 - Interventions'!$E:$E,D$6,'S1 - Interventions'!$AE:$AE,"4")</f>
        <v>0</v>
      </c>
      <c r="E85" s="25">
        <f t="shared" si="25"/>
        <v>6</v>
      </c>
      <c r="G85" s="6" t="s">
        <v>618</v>
      </c>
      <c r="H85" s="22">
        <f t="shared" si="26"/>
        <v>0.20833333333333334</v>
      </c>
      <c r="I85" s="22">
        <f t="shared" si="27"/>
        <v>4.3478260869565216E-2</v>
      </c>
      <c r="J85" s="22">
        <f t="shared" si="28"/>
        <v>0</v>
      </c>
    </row>
    <row r="86" spans="1:20" ht="15" customHeight="1" x14ac:dyDescent="0.25">
      <c r="A86" t="s">
        <v>639</v>
      </c>
      <c r="B86" s="20">
        <f>COUNTIFS('S1 - Interventions'!$E:$E,B$6,'S1 - Interventions'!$AE:$AE,"5")</f>
        <v>0</v>
      </c>
      <c r="C86" s="20">
        <f>COUNTIFS('S1 - Interventions'!$E:$E,C$6,'S1 - Interventions'!$AE:$AE,"5")</f>
        <v>0</v>
      </c>
      <c r="D86" s="20">
        <f>COUNTIFS('S1 - Interventions'!$E:$E,D$6,'S1 - Interventions'!$AE:$AE,"5")</f>
        <v>1</v>
      </c>
      <c r="E86" s="25">
        <f t="shared" si="25"/>
        <v>1</v>
      </c>
      <c r="G86" t="s">
        <v>639</v>
      </c>
      <c r="H86" s="22">
        <f t="shared" si="26"/>
        <v>0</v>
      </c>
      <c r="I86" s="22">
        <f t="shared" si="27"/>
        <v>0</v>
      </c>
      <c r="J86" s="22">
        <f t="shared" si="28"/>
        <v>0.16666666666666666</v>
      </c>
    </row>
    <row r="87" spans="1:20" ht="15" customHeight="1" x14ac:dyDescent="0.25">
      <c r="A87" s="6" t="s">
        <v>669</v>
      </c>
      <c r="B87" s="20">
        <f>COUNTIFS('S1 - Interventions'!$E:$E,B$6,'S1 - Interventions'!$AE:$AE,"6")</f>
        <v>0</v>
      </c>
      <c r="C87" s="20">
        <f>COUNTIFS('S1 - Interventions'!$E:$E,C$6,'S1 - Interventions'!$AE:$AE,"6")</f>
        <v>1</v>
      </c>
      <c r="D87" s="20">
        <f>COUNTIFS('S1 - Interventions'!$E:$E,D$6,'S1 - Interventions'!$AE:$AE,"6")</f>
        <v>0</v>
      </c>
      <c r="E87" s="25">
        <f t="shared" si="25"/>
        <v>1</v>
      </c>
      <c r="G87" s="6" t="s">
        <v>669</v>
      </c>
      <c r="H87" s="22">
        <f t="shared" ref="H87" si="34">B87/B$7</f>
        <v>0</v>
      </c>
      <c r="I87" s="22">
        <f t="shared" ref="I87" si="35">C87/C$7</f>
        <v>4.3478260869565216E-2</v>
      </c>
      <c r="J87" s="22">
        <f t="shared" ref="J87" si="36">D87/D$7</f>
        <v>0</v>
      </c>
    </row>
    <row r="89" spans="1:20" x14ac:dyDescent="0.25">
      <c r="A89" s="15" t="s">
        <v>670</v>
      </c>
      <c r="B89" s="33"/>
      <c r="C89" s="33"/>
      <c r="D89" s="33"/>
      <c r="E89" s="40"/>
      <c r="F89" s="40"/>
      <c r="G89" s="15" t="s">
        <v>670</v>
      </c>
      <c r="H89" s="35"/>
      <c r="I89" s="35"/>
      <c r="J89" s="35"/>
    </row>
    <row r="90" spans="1:20" x14ac:dyDescent="0.25">
      <c r="A90" t="s">
        <v>671</v>
      </c>
      <c r="B90" s="20">
        <f>COUNTIFS('S1 - Interventions'!$E:$E,B$6,'S1 - Interventions'!$O:$O,"=0")</f>
        <v>2</v>
      </c>
      <c r="C90" s="20">
        <f>COUNTIFS('S1 - Interventions'!$E:$E,C$6,'S1 - Interventions'!$O:$O,"=0")</f>
        <v>1</v>
      </c>
      <c r="D90" s="20">
        <f>COUNTIFS('S1 - Interventions'!$E:$E,D$6,'S1 - Interventions'!$O:$O,"=0")</f>
        <v>0</v>
      </c>
      <c r="E90" s="25">
        <f t="shared" ref="E90:E92" si="37">SUM(B90:D90)</f>
        <v>3</v>
      </c>
      <c r="G90" t="s">
        <v>671</v>
      </c>
      <c r="H90" s="22">
        <f t="shared" ref="H90:J95" si="38">B90/B$7</f>
        <v>8.3333333333333329E-2</v>
      </c>
      <c r="I90" s="22">
        <f t="shared" si="38"/>
        <v>4.3478260869565216E-2</v>
      </c>
      <c r="J90" s="22">
        <f t="shared" si="38"/>
        <v>0</v>
      </c>
    </row>
    <row r="91" spans="1:20" x14ac:dyDescent="0.25">
      <c r="A91" t="s">
        <v>672</v>
      </c>
      <c r="B91" s="20">
        <f>COUNTIFS('S1 - Interventions'!$E:$E,B$6,'S1 - Interventions'!$O:$O,"=100")</f>
        <v>0</v>
      </c>
      <c r="C91" s="20">
        <f>COUNTIFS('S1 - Interventions'!$E:$E,C$6,'S1 - Interventions'!$O:$O,"=100")</f>
        <v>2</v>
      </c>
      <c r="D91" s="20">
        <f>COUNTIFS('S1 - Interventions'!$E:$E,D$6,'S1 - Interventions'!$O:$O,"=100")</f>
        <v>1</v>
      </c>
      <c r="E91" s="25">
        <f t="shared" si="37"/>
        <v>3</v>
      </c>
      <c r="G91" t="s">
        <v>672</v>
      </c>
      <c r="H91" s="22">
        <f t="shared" si="38"/>
        <v>0</v>
      </c>
      <c r="I91" s="22">
        <f t="shared" si="38"/>
        <v>8.6956521739130432E-2</v>
      </c>
      <c r="J91" s="22">
        <f t="shared" si="38"/>
        <v>0.16666666666666666</v>
      </c>
    </row>
    <row r="92" spans="1:20" x14ac:dyDescent="0.25">
      <c r="A92" t="s">
        <v>673</v>
      </c>
      <c r="B92" s="41">
        <f>COUNTIFS('S1 - Interventions'!$E:$E,B$6,'S1 - Interventions'!$O:$O,"&lt;=40",'S1 - Interventions'!$O:$O,"&gt;0")</f>
        <v>1</v>
      </c>
      <c r="C92" s="41">
        <f>COUNTIFS('S1 - Interventions'!$E:$E,C$6,'S1 - Interventions'!$O:$O,"&lt;=40",'S1 - Interventions'!$O:$O,"&gt;0")</f>
        <v>5</v>
      </c>
      <c r="D92" s="41">
        <f>COUNTIFS('S1 - Interventions'!$E:$E,D$6,'S1 - Interventions'!$O:$O,"&lt;=40",'S1 - Interventions'!$O:$O,"&gt;0")</f>
        <v>0</v>
      </c>
      <c r="E92" s="25">
        <f t="shared" si="37"/>
        <v>6</v>
      </c>
      <c r="G92" t="s">
        <v>673</v>
      </c>
      <c r="H92" s="22">
        <f t="shared" si="38"/>
        <v>4.1666666666666664E-2</v>
      </c>
      <c r="I92" s="22">
        <f t="shared" si="38"/>
        <v>0.21739130434782608</v>
      </c>
      <c r="J92" s="22">
        <f t="shared" si="38"/>
        <v>0</v>
      </c>
    </row>
    <row r="93" spans="1:20" x14ac:dyDescent="0.25">
      <c r="A93" t="s">
        <v>674</v>
      </c>
      <c r="B93" s="20">
        <f>COUNTIFS('S1 - Interventions'!$E:$E,B$6,'S1 - Interventions'!$O:$O,"&gt;60",'S1 - Interventions'!$O:$O,"&lt;100")</f>
        <v>10</v>
      </c>
      <c r="C93" s="20">
        <f>COUNTIFS('S1 - Interventions'!$E:$E,C$6,'S1 - Interventions'!$O:$O,"&gt;60",'S1 - Interventions'!$O:$O,"&lt;100")</f>
        <v>6</v>
      </c>
      <c r="D93" s="20">
        <f>COUNTIFS('S1 - Interventions'!$E:$E,D$6,'S1 - Interventions'!$O:$O,"&gt;60",'S1 - Interventions'!$O:$O,"&lt;100")</f>
        <v>3</v>
      </c>
      <c r="E93" s="25">
        <f>SUM(B93:D93)</f>
        <v>19</v>
      </c>
      <c r="G93" t="s">
        <v>674</v>
      </c>
      <c r="H93" s="22">
        <f t="shared" si="38"/>
        <v>0.41666666666666669</v>
      </c>
      <c r="I93" s="22">
        <f t="shared" si="38"/>
        <v>0.2608695652173913</v>
      </c>
      <c r="J93" s="22">
        <f t="shared" si="38"/>
        <v>0.5</v>
      </c>
    </row>
    <row r="94" spans="1:20" x14ac:dyDescent="0.25">
      <c r="A94" t="s">
        <v>675</v>
      </c>
      <c r="B94" s="20">
        <f>COUNTIFS('S1 - Interventions'!$E:$E,B$6,'S1 - Interventions'!$O:$O,"&gt;=40",'S1 - Interventions'!$O:$O,"&lt;=60")</f>
        <v>11</v>
      </c>
      <c r="C94" s="20">
        <f>COUNTIFS('S1 - Interventions'!$E:$E,C$6,'S1 - Interventions'!$O:$O,"&gt;=40",'S1 - Interventions'!$O:$O,"&lt;=60")</f>
        <v>9</v>
      </c>
      <c r="D94" s="20">
        <f>COUNTIFS('S1 - Interventions'!$E:$E,D$6,'S1 - Interventions'!$O:$O,"&gt;=40",'S1 - Interventions'!$O:$O,"&lt;=60")</f>
        <v>2</v>
      </c>
      <c r="E94" s="25">
        <f>SUM(B94:D94)</f>
        <v>22</v>
      </c>
      <c r="G94" t="s">
        <v>675</v>
      </c>
      <c r="H94" s="22">
        <f t="shared" si="38"/>
        <v>0.45833333333333331</v>
      </c>
      <c r="I94" s="22">
        <f t="shared" si="38"/>
        <v>0.39130434782608697</v>
      </c>
      <c r="J94" s="22">
        <f t="shared" si="38"/>
        <v>0.33333333333333331</v>
      </c>
    </row>
    <row r="95" spans="1:20" x14ac:dyDescent="0.25">
      <c r="A95" t="s">
        <v>676</v>
      </c>
      <c r="B95" s="20">
        <f>COUNTIFS('S1 - Interventions'!$E:$E,B$6,'S1 - Interventions'!$O:$O,$A95)</f>
        <v>0</v>
      </c>
      <c r="C95" s="20">
        <f>COUNTIFS('S1 - Interventions'!$E:$E,C$6,'S1 - Interventions'!$O:$O,$A95)</f>
        <v>0</v>
      </c>
      <c r="D95" s="20">
        <f>COUNTIFS('S1 - Interventions'!$E:$E,D$6,'S1 - Interventions'!$O:$O,$A95)</f>
        <v>0</v>
      </c>
      <c r="E95" s="25">
        <f>SUM(B95:D95)</f>
        <v>0</v>
      </c>
      <c r="G95" t="s">
        <v>676</v>
      </c>
      <c r="H95" s="22">
        <f t="shared" si="38"/>
        <v>0</v>
      </c>
      <c r="I95" s="22">
        <f t="shared" si="38"/>
        <v>0</v>
      </c>
      <c r="J95" s="22">
        <f t="shared" si="38"/>
        <v>0</v>
      </c>
    </row>
    <row r="96" spans="1:20" x14ac:dyDescent="0.25">
      <c r="A96" s="98"/>
      <c r="B96" s="99"/>
      <c r="C96" s="99"/>
      <c r="D96" s="99"/>
      <c r="E96" s="100"/>
      <c r="G96" s="98"/>
    </row>
    <row r="97" spans="1:10" ht="15" customHeight="1" x14ac:dyDescent="0.25">
      <c r="A97" s="15" t="s">
        <v>17</v>
      </c>
      <c r="B97" s="33"/>
      <c r="C97" s="33"/>
      <c r="D97" s="33"/>
      <c r="E97" s="40"/>
      <c r="F97" s="40"/>
      <c r="G97" s="15" t="s">
        <v>17</v>
      </c>
      <c r="H97" s="40"/>
      <c r="I97" s="40"/>
      <c r="J97" s="40"/>
    </row>
    <row r="98" spans="1:10" ht="15" customHeight="1" x14ac:dyDescent="0.25">
      <c r="A98" t="s">
        <v>677</v>
      </c>
      <c r="B98" s="20">
        <f>COUNTIFS('S1 - Interventions'!$E:$E,B$6,'S1 - Interventions'!$P:$P,"&lt;=30",'S1 - Interventions'!$P:$P,"&gt;18")</f>
        <v>7</v>
      </c>
      <c r="C98" s="20">
        <f>COUNTIFS('S1 - Interventions'!$E:$E,C$6,'S1 - Interventions'!$P:$P,"&lt;=30",'S1 - Interventions'!$P:$P,"&gt;18")</f>
        <v>3</v>
      </c>
      <c r="D98" s="20">
        <f>COUNTIFS('S1 - Interventions'!$E:$E,D$6,'S1 - Interventions'!$P:$P,"&lt;=30",'S1 - Interventions'!$P:$P,"&gt;18")</f>
        <v>1</v>
      </c>
      <c r="E98" s="25">
        <f>SUM(B98:D98)</f>
        <v>11</v>
      </c>
      <c r="G98" t="s">
        <v>677</v>
      </c>
      <c r="H98" s="22">
        <f t="shared" ref="H98:H101" si="39">B98/B$7</f>
        <v>0.29166666666666669</v>
      </c>
      <c r="I98" s="22">
        <f t="shared" ref="I98:I101" si="40">C98/C$7</f>
        <v>0.13043478260869565</v>
      </c>
      <c r="J98" s="22">
        <f t="shared" ref="J98:J101" si="41">D98/D$7</f>
        <v>0.16666666666666666</v>
      </c>
    </row>
    <row r="99" spans="1:10" ht="15" customHeight="1" x14ac:dyDescent="0.25">
      <c r="A99" t="s">
        <v>678</v>
      </c>
      <c r="B99" s="20">
        <f>COUNTIFS('S1 - Interventions'!$E:$E,B$6,'S1 - Interventions'!$P:$P,"&lt;=50",'S1 - Interventions'!$P:$P,"&gt;30")</f>
        <v>12</v>
      </c>
      <c r="C99" s="20">
        <f>COUNTIFS('S1 - Interventions'!$E:$E,C$6,'S1 - Interventions'!$P:$P,"&lt;=50",'S1 - Interventions'!$P:$P,"&gt;30")</f>
        <v>10</v>
      </c>
      <c r="D99" s="20">
        <f>COUNTIFS('S1 - Interventions'!$E:$E,D$6,'S1 - Interventions'!$P:$P,"&lt;=50",'S1 - Interventions'!$P:$P,"&gt;30")</f>
        <v>1</v>
      </c>
      <c r="E99" s="25">
        <f>SUM(B99:D99)</f>
        <v>23</v>
      </c>
      <c r="G99" t="s">
        <v>678</v>
      </c>
      <c r="H99" s="22">
        <f t="shared" si="39"/>
        <v>0.5</v>
      </c>
      <c r="I99" s="22">
        <f t="shared" si="40"/>
        <v>0.43478260869565216</v>
      </c>
      <c r="J99" s="22">
        <f t="shared" si="41"/>
        <v>0.16666666666666666</v>
      </c>
    </row>
    <row r="100" spans="1:10" ht="15" customHeight="1" x14ac:dyDescent="0.25">
      <c r="A100" t="s">
        <v>679</v>
      </c>
      <c r="B100" s="20">
        <f>COUNTIFS('S1 - Interventions'!$E:$E,B$6,'S1 - Interventions'!$P:$P,"&lt;=70",'S1 - Interventions'!$P:$P,"&gt;50")</f>
        <v>5</v>
      </c>
      <c r="C100" s="20">
        <f>COUNTIFS('S1 - Interventions'!$E:$E,C$6,'S1 - Interventions'!$P:$P,"&lt;=70",'S1 - Interventions'!$P:$P,"&gt;50")</f>
        <v>10</v>
      </c>
      <c r="D100" s="20">
        <f>COUNTIFS('S1 - Interventions'!$E:$E,D$6,'S1 - Interventions'!$P:$P,"&lt;=70",'S1 - Interventions'!$P:$P,"&gt;50")</f>
        <v>4</v>
      </c>
      <c r="E100" s="25">
        <f>SUM(B100:D100)</f>
        <v>19</v>
      </c>
      <c r="G100" t="s">
        <v>679</v>
      </c>
      <c r="H100" s="22">
        <f t="shared" si="39"/>
        <v>0.20833333333333334</v>
      </c>
      <c r="I100" s="22">
        <f t="shared" si="40"/>
        <v>0.43478260869565216</v>
      </c>
      <c r="J100" s="22">
        <f t="shared" si="41"/>
        <v>0.66666666666666663</v>
      </c>
    </row>
    <row r="101" spans="1:10" ht="15" customHeight="1" x14ac:dyDescent="0.25">
      <c r="A101" t="s">
        <v>680</v>
      </c>
      <c r="B101" s="20">
        <f>COUNTIFS('S1 - Interventions'!$E:$E,B$6,'S1 - Interventions'!$P:$P,"&gt;70")</f>
        <v>0</v>
      </c>
      <c r="C101" s="20">
        <f>COUNTIFS('S1 - Interventions'!$E:$E,C$6,'S1 - Interventions'!$P:$P,"&gt;70")</f>
        <v>0</v>
      </c>
      <c r="D101" s="20">
        <f>COUNTIFS('S1 - Interventions'!$E:$E,D$6,'S1 - Interventions'!$P:$P,"&gt;70")</f>
        <v>0</v>
      </c>
      <c r="E101" s="25">
        <f>SUM(B101:D101)</f>
        <v>0</v>
      </c>
      <c r="G101" t="s">
        <v>680</v>
      </c>
      <c r="H101" s="22">
        <f t="shared" si="39"/>
        <v>0</v>
      </c>
      <c r="I101" s="22">
        <f t="shared" si="40"/>
        <v>0</v>
      </c>
      <c r="J101" s="22">
        <f t="shared" si="41"/>
        <v>0</v>
      </c>
    </row>
    <row r="103" spans="1:10" ht="15" customHeight="1" x14ac:dyDescent="0.25">
      <c r="A103" s="15" t="s">
        <v>681</v>
      </c>
      <c r="B103" s="33"/>
      <c r="C103" s="33"/>
      <c r="D103" s="33"/>
      <c r="E103" s="40"/>
      <c r="F103" s="40"/>
      <c r="G103" s="15" t="s">
        <v>681</v>
      </c>
      <c r="H103" s="33"/>
      <c r="I103" s="33"/>
      <c r="J103" s="33"/>
    </row>
    <row r="104" spans="1:10" ht="15" customHeight="1" x14ac:dyDescent="0.25">
      <c r="A104" t="s">
        <v>28</v>
      </c>
      <c r="B104" s="20">
        <f>COUNTIFS('S1 - Interventions'!$E:$E,B$6,'S1 - Interventions'!$Q:$Q,"*Yes*")</f>
        <v>2</v>
      </c>
      <c r="C104" s="20">
        <f>COUNTIFS('S1 - Interventions'!$E:$E,C$6,'S1 - Interventions'!$Q:$Q,"*Yes*")</f>
        <v>5</v>
      </c>
      <c r="D104" s="20">
        <f>COUNTIFS('S1 - Interventions'!$E:$E,D$6,'S1 - Interventions'!$Q:$Q,"*Yes*")</f>
        <v>2</v>
      </c>
      <c r="E104" s="25">
        <f>SUM(B104:D104)</f>
        <v>9</v>
      </c>
      <c r="G104" t="s">
        <v>28</v>
      </c>
      <c r="H104" s="22">
        <f t="shared" ref="H104:J106" si="42">B104/B$7</f>
        <v>8.3333333333333329E-2</v>
      </c>
      <c r="I104" s="22">
        <f t="shared" si="42"/>
        <v>0.21739130434782608</v>
      </c>
      <c r="J104" s="22">
        <f t="shared" si="42"/>
        <v>0.33333333333333331</v>
      </c>
    </row>
    <row r="105" spans="1:10" ht="15" customHeight="1" x14ac:dyDescent="0.25">
      <c r="A105" t="s">
        <v>34</v>
      </c>
      <c r="B105" s="20">
        <f>COUNTIFS('S1 - Interventions'!$E:$E,B$6,'S1 - Interventions'!$Q:$Q,"*No*")</f>
        <v>20</v>
      </c>
      <c r="C105" s="20">
        <f>COUNTIFS('S1 - Interventions'!$E:$E,C$6,'S1 - Interventions'!$Q:$Q,"*No*")</f>
        <v>18</v>
      </c>
      <c r="D105" s="20">
        <f>COUNTIFS('S1 - Interventions'!$E:$E,D$6,'S1 - Interventions'!$Q:$Q,"*No*")</f>
        <v>4</v>
      </c>
      <c r="E105" s="25">
        <f>SUM(B105:D105)</f>
        <v>42</v>
      </c>
      <c r="G105" t="s">
        <v>34</v>
      </c>
      <c r="H105" s="22">
        <f t="shared" si="42"/>
        <v>0.83333333333333337</v>
      </c>
      <c r="I105" s="22">
        <f t="shared" si="42"/>
        <v>0.78260869565217395</v>
      </c>
      <c r="J105" s="22">
        <f t="shared" si="42"/>
        <v>0.66666666666666663</v>
      </c>
    </row>
    <row r="106" spans="1:10" ht="15" customHeight="1" x14ac:dyDescent="0.25">
      <c r="A106" t="s">
        <v>96</v>
      </c>
      <c r="B106" s="20">
        <f>COUNTIFS('S1 - Interventions'!$E:$E,B$6,'S1 - Interventions'!$Q:$Q,"*Unclear*")</f>
        <v>2</v>
      </c>
      <c r="C106" s="20">
        <f>COUNTIFS('S1 - Interventions'!$E:$E,C$6,'S1 - Interventions'!$Q:$Q,"*Unclear*")</f>
        <v>0</v>
      </c>
      <c r="D106" s="20">
        <f>COUNTIFS('S1 - Interventions'!$E:$E,D$6,'S1 - Interventions'!$Q:$Q,"*Unclear*")</f>
        <v>0</v>
      </c>
      <c r="E106" s="25">
        <f>SUM(B106:D106)</f>
        <v>2</v>
      </c>
      <c r="G106" t="s">
        <v>96</v>
      </c>
      <c r="H106" s="22">
        <f t="shared" si="42"/>
        <v>8.3333333333333329E-2</v>
      </c>
      <c r="I106" s="22">
        <f t="shared" si="42"/>
        <v>0</v>
      </c>
      <c r="J106" s="22">
        <f t="shared" si="42"/>
        <v>0</v>
      </c>
    </row>
    <row r="108" spans="1:10" ht="15" customHeight="1" x14ac:dyDescent="0.25">
      <c r="A108" s="15" t="s">
        <v>682</v>
      </c>
      <c r="B108" s="107" t="s">
        <v>683</v>
      </c>
      <c r="C108" s="33"/>
      <c r="D108" s="33"/>
      <c r="E108" s="40"/>
      <c r="F108" s="40"/>
      <c r="G108" s="15" t="s">
        <v>682</v>
      </c>
      <c r="H108" s="33"/>
      <c r="I108" s="33"/>
      <c r="J108" s="33"/>
    </row>
    <row r="109" spans="1:10" ht="15" customHeight="1" x14ac:dyDescent="0.25">
      <c r="A109" t="s">
        <v>28</v>
      </c>
      <c r="B109" s="41">
        <f>COUNTIFS('S1 - Interventions'!$E:$E,B$6,'S1 - Interventions'!$R:$R,"*Yes*")</f>
        <v>6</v>
      </c>
      <c r="C109" s="41">
        <f>COUNTIFS('S1 - Interventions'!$E:$E,C$6,'S1 - Interventions'!$R:$R,"*Yes*")</f>
        <v>10</v>
      </c>
      <c r="D109" s="41">
        <f>COUNTIFS('S1 - Interventions'!$E:$E,D$6,'S1 - Interventions'!$R:$R,"*Yes*")</f>
        <v>3</v>
      </c>
      <c r="E109" s="25">
        <f>SUM(B109:D109)</f>
        <v>19</v>
      </c>
      <c r="G109" t="s">
        <v>28</v>
      </c>
      <c r="H109" s="22">
        <f t="shared" ref="H109:J111" si="43">B109/B$7</f>
        <v>0.25</v>
      </c>
      <c r="I109" s="22">
        <f t="shared" si="43"/>
        <v>0.43478260869565216</v>
      </c>
      <c r="J109" s="22">
        <f t="shared" si="43"/>
        <v>0.5</v>
      </c>
    </row>
    <row r="110" spans="1:10" ht="15" customHeight="1" x14ac:dyDescent="0.25">
      <c r="A110" t="s">
        <v>34</v>
      </c>
      <c r="B110" s="41">
        <f>COUNTIFS('S1 - Interventions'!$E:$E,B$6,'S1 - Interventions'!$R:$R,"*No*")</f>
        <v>17</v>
      </c>
      <c r="C110" s="41">
        <f>COUNTIFS('S1 - Interventions'!$E:$E,C$6,'S1 - Interventions'!$R:$R,"*No*")</f>
        <v>13</v>
      </c>
      <c r="D110" s="41">
        <f>COUNTIFS('S1 - Interventions'!$E:$E,D$6,'S1 - Interventions'!$R:$R,"*No*")</f>
        <v>3</v>
      </c>
      <c r="E110" s="25">
        <f>SUM(B110:D110)</f>
        <v>33</v>
      </c>
      <c r="G110" t="s">
        <v>34</v>
      </c>
      <c r="H110" s="22">
        <f t="shared" si="43"/>
        <v>0.70833333333333337</v>
      </c>
      <c r="I110" s="22">
        <f t="shared" si="43"/>
        <v>0.56521739130434778</v>
      </c>
      <c r="J110" s="22">
        <f t="shared" si="43"/>
        <v>0.5</v>
      </c>
    </row>
    <row r="111" spans="1:10" ht="15" customHeight="1" x14ac:dyDescent="0.25">
      <c r="A111" t="s">
        <v>96</v>
      </c>
      <c r="B111" s="41">
        <f>COUNTIFS('S1 - Interventions'!$E:$E,B$6,'S1 - Interventions'!$R:$R,"*Unclear*")</f>
        <v>1</v>
      </c>
      <c r="C111" s="41">
        <f>COUNTIFS('S1 - Interventions'!$E:$E,C$6,'S1 - Interventions'!$R:$R,"*Unclear*")</f>
        <v>0</v>
      </c>
      <c r="D111" s="41">
        <f>COUNTIFS('S1 - Interventions'!$E:$E,D$6,'S1 - Interventions'!$R:$R,"*Unclear*")</f>
        <v>0</v>
      </c>
      <c r="E111" s="25">
        <f>SUM(B111:D111)</f>
        <v>1</v>
      </c>
      <c r="G111" t="s">
        <v>96</v>
      </c>
      <c r="H111" s="22">
        <f t="shared" si="43"/>
        <v>4.1666666666666664E-2</v>
      </c>
      <c r="I111" s="22">
        <f t="shared" si="43"/>
        <v>0</v>
      </c>
      <c r="J111" s="22">
        <f t="shared" si="43"/>
        <v>0</v>
      </c>
    </row>
    <row r="113" spans="1:20" s="11" customFormat="1" ht="15" customHeight="1" x14ac:dyDescent="0.25">
      <c r="A113" s="44" t="s">
        <v>684</v>
      </c>
      <c r="B113" s="45"/>
      <c r="C113" s="45"/>
      <c r="D113" s="19"/>
      <c r="E113" s="19"/>
      <c r="F113" s="40"/>
      <c r="G113" s="28" t="s">
        <v>684</v>
      </c>
      <c r="H113" s="21"/>
      <c r="I113" s="21"/>
      <c r="J113" s="21"/>
      <c r="R113" s="25"/>
      <c r="S113" s="25"/>
      <c r="T113" s="25"/>
    </row>
    <row r="114" spans="1:20" ht="15" customHeight="1" x14ac:dyDescent="0.25">
      <c r="A114" s="46" t="s">
        <v>38</v>
      </c>
      <c r="B114" s="20">
        <f>COUNTIFS('S1 - Interventions'!$E:$E,B$6,'S1 - Interventions'!$Z:$Z,"*In person*")</f>
        <v>17</v>
      </c>
      <c r="C114" s="20">
        <f>COUNTIFS('S1 - Interventions'!$E:$E,C$6,'S1 - Interventions'!$Z:$Z,"*In person*")</f>
        <v>8</v>
      </c>
      <c r="D114" s="20">
        <f>COUNTIFS('S1 - Interventions'!$E:$E,D$6,'S1 - Interventions'!$Z:$Z,"*In person*")</f>
        <v>2</v>
      </c>
      <c r="E114" s="25">
        <f>SUM(B114:D114)</f>
        <v>27</v>
      </c>
      <c r="G114" t="s">
        <v>38</v>
      </c>
      <c r="H114" s="22">
        <f t="shared" ref="H114:J117" si="44">B114/B$7</f>
        <v>0.70833333333333337</v>
      </c>
      <c r="I114" s="22">
        <f t="shared" si="44"/>
        <v>0.34782608695652173</v>
      </c>
      <c r="J114" s="22">
        <f t="shared" si="44"/>
        <v>0.33333333333333331</v>
      </c>
    </row>
    <row r="115" spans="1:20" ht="15" customHeight="1" x14ac:dyDescent="0.25">
      <c r="A115" s="46" t="s">
        <v>249</v>
      </c>
      <c r="B115" s="20">
        <f>COUNTIFS('S1 - Interventions'!$E:$E,B$6,'S1 - Interventions'!$Z:$Z,"*Telephone*")</f>
        <v>1</v>
      </c>
      <c r="C115" s="20">
        <f>COUNTIFS('S1 - Interventions'!$E:$E,C$6,'S1 - Interventions'!$Z:$Z,"*Telephone*")</f>
        <v>4</v>
      </c>
      <c r="D115" s="20">
        <f>COUNTIFS('S1 - Interventions'!$E:$E,D$6,'S1 - Interventions'!$Z:$Z,"*Telephone*")</f>
        <v>1</v>
      </c>
      <c r="E115" s="25">
        <f>SUM(B115:D115)</f>
        <v>6</v>
      </c>
      <c r="G115" t="s">
        <v>249</v>
      </c>
      <c r="H115" s="22">
        <f t="shared" si="44"/>
        <v>4.1666666666666664E-2</v>
      </c>
      <c r="I115" s="22">
        <f t="shared" si="44"/>
        <v>0.17391304347826086</v>
      </c>
      <c r="J115" s="22">
        <f t="shared" si="44"/>
        <v>0.16666666666666666</v>
      </c>
    </row>
    <row r="116" spans="1:20" ht="15" customHeight="1" x14ac:dyDescent="0.25">
      <c r="A116" s="14" t="s">
        <v>124</v>
      </c>
      <c r="B116" s="20">
        <f>COUNTIFS('S1 - Interventions'!$E:$E,B$6,'S1 - Interventions'!$Z:$Z,"*Device/Online*")</f>
        <v>6</v>
      </c>
      <c r="C116" s="20">
        <f>COUNTIFS('S1 - Interventions'!$E:$E,C$6,'S1 - Interventions'!$Z:$Z,"*Device/Online*")</f>
        <v>8</v>
      </c>
      <c r="D116" s="20">
        <f>COUNTIFS('S1 - Interventions'!$E:$E,D$6,'S1 - Interventions'!$Z:$Z,"*Device/Online*")</f>
        <v>2</v>
      </c>
      <c r="E116" s="25">
        <f>SUM(B116:D116)</f>
        <v>16</v>
      </c>
      <c r="G116" t="s">
        <v>124</v>
      </c>
      <c r="H116" s="22">
        <f t="shared" si="44"/>
        <v>0.25</v>
      </c>
      <c r="I116" s="22">
        <f t="shared" si="44"/>
        <v>0.34782608695652173</v>
      </c>
      <c r="J116" s="22">
        <f t="shared" si="44"/>
        <v>0.33333333333333331</v>
      </c>
    </row>
    <row r="117" spans="1:20" ht="15" customHeight="1" x14ac:dyDescent="0.25">
      <c r="A117" s="14" t="s">
        <v>64</v>
      </c>
      <c r="B117" s="20">
        <f>COUNTIFS('S1 - Interventions'!$E:$E,B$6,'S1 - Interventions'!$Z:$Z,"*Written Communication*")</f>
        <v>11</v>
      </c>
      <c r="C117" s="20">
        <f>COUNTIFS('S1 - Interventions'!$E:$E,C$6,'S1 - Interventions'!$Z:$Z,"*Written Communication*")</f>
        <v>11</v>
      </c>
      <c r="D117" s="20">
        <f>COUNTIFS('S1 - Interventions'!$E:$E,D$6,'S1 - Interventions'!$Z:$Z,"*Written Communication*")</f>
        <v>2</v>
      </c>
      <c r="E117" s="25">
        <f>SUM(B117:D117)</f>
        <v>24</v>
      </c>
      <c r="G117" t="s">
        <v>64</v>
      </c>
      <c r="H117" s="22">
        <f t="shared" si="44"/>
        <v>0.45833333333333331</v>
      </c>
      <c r="I117" s="22">
        <f t="shared" si="44"/>
        <v>0.47826086956521741</v>
      </c>
      <c r="J117" s="22">
        <f t="shared" si="44"/>
        <v>0.33333333333333331</v>
      </c>
    </row>
    <row r="118" spans="1:20" ht="15" customHeight="1" x14ac:dyDescent="0.25">
      <c r="A118" s="15" t="s">
        <v>21</v>
      </c>
      <c r="B118" s="33"/>
      <c r="C118" s="33"/>
      <c r="D118" s="33"/>
      <c r="E118" s="40"/>
      <c r="F118" s="40"/>
      <c r="G118" s="15" t="s">
        <v>21</v>
      </c>
      <c r="H118" s="33"/>
      <c r="I118" s="33"/>
      <c r="J118" s="33"/>
      <c r="K118" s="25"/>
    </row>
    <row r="119" spans="1:20" ht="15" customHeight="1" x14ac:dyDescent="0.25">
      <c r="A119" t="s">
        <v>614</v>
      </c>
      <c r="B119" s="20">
        <f>COUNTIFS('S1 - Interventions'!$E:$E,B$6,'S1 - Interventions'!$AA:$AA,"1")</f>
        <v>13</v>
      </c>
      <c r="C119" s="20">
        <f>COUNTIFS('S1 - Interventions'!$E:$E,C$6,'S1 - Interventions'!$AA:$AA,"1")</f>
        <v>14</v>
      </c>
      <c r="D119" s="20">
        <f>COUNTIFS('S1 - Interventions'!$E:$E,D$6,'S1 - Interventions'!$AA:$AA,"1")</f>
        <v>5</v>
      </c>
      <c r="E119" s="25">
        <f>SUM(B119:D119)</f>
        <v>32</v>
      </c>
      <c r="G119" t="s">
        <v>614</v>
      </c>
      <c r="H119" s="22">
        <f t="shared" ref="H119:J120" si="45">B119/B$7</f>
        <v>0.54166666666666663</v>
      </c>
      <c r="I119" s="22">
        <f t="shared" si="45"/>
        <v>0.60869565217391308</v>
      </c>
      <c r="J119" s="22">
        <f t="shared" si="45"/>
        <v>0.83333333333333337</v>
      </c>
    </row>
    <row r="120" spans="1:20" ht="15" customHeight="1" x14ac:dyDescent="0.25">
      <c r="A120" t="s">
        <v>615</v>
      </c>
      <c r="B120" s="20">
        <f>COUNTIFS('S1 - Interventions'!$E:$E,B$6,'S1 - Interventions'!$AA:$AA,"2")</f>
        <v>11</v>
      </c>
      <c r="C120" s="20">
        <f>COUNTIFS('S1 - Interventions'!$E:$E,C$6,'S1 - Interventions'!$AA:$AA,"2")</f>
        <v>9</v>
      </c>
      <c r="D120" s="20">
        <f>COUNTIFS('S1 - Interventions'!$E:$E,D$6,'S1 - Interventions'!$AA:$AA,"2")</f>
        <v>1</v>
      </c>
      <c r="E120" s="25">
        <f>SUM(B120:D120)</f>
        <v>21</v>
      </c>
      <c r="G120" t="s">
        <v>615</v>
      </c>
      <c r="H120" s="22">
        <f t="shared" si="45"/>
        <v>0.45833333333333331</v>
      </c>
      <c r="I120" s="22">
        <f t="shared" si="45"/>
        <v>0.39130434782608697</v>
      </c>
      <c r="J120" s="22">
        <f t="shared" si="45"/>
        <v>0.16666666666666666</v>
      </c>
    </row>
    <row r="121" spans="1:20" x14ac:dyDescent="0.25">
      <c r="A121" s="15" t="s">
        <v>685</v>
      </c>
      <c r="B121" s="33"/>
      <c r="C121" s="33"/>
      <c r="D121" s="33"/>
      <c r="E121" s="40"/>
      <c r="F121" s="40"/>
      <c r="G121" s="15" t="s">
        <v>685</v>
      </c>
      <c r="H121" s="33"/>
      <c r="I121" s="33"/>
      <c r="J121" s="33"/>
      <c r="K121" s="11"/>
    </row>
    <row r="122" spans="1:20" x14ac:dyDescent="0.25">
      <c r="A122" t="s">
        <v>39</v>
      </c>
      <c r="B122" s="20">
        <f>COUNTIFS('S1 - Interventions'!$E:$E,B$6,'S1 - Interventions'!$AB:$AB,"Once")</f>
        <v>21</v>
      </c>
      <c r="C122" s="20">
        <f>COUNTIFS('S1 - Interventions'!$E:$E,C$6,'S1 - Interventions'!$AB:$AB,"Once")</f>
        <v>15</v>
      </c>
      <c r="D122" s="20">
        <f>COUNTIFS('S1 - Interventions'!$E:$E,D$6,'S1 - Interventions'!$AB:$AB,"Once")</f>
        <v>3</v>
      </c>
      <c r="E122" s="25">
        <f>SUM(B122:D122)</f>
        <v>39</v>
      </c>
      <c r="G122" t="s">
        <v>39</v>
      </c>
      <c r="H122" s="22">
        <f t="shared" ref="H122:I123" si="46">B122/B$7</f>
        <v>0.875</v>
      </c>
      <c r="I122" s="22">
        <f t="shared" si="46"/>
        <v>0.65217391304347827</v>
      </c>
      <c r="J122" s="22">
        <f>D122/D$7</f>
        <v>0.5</v>
      </c>
    </row>
    <row r="123" spans="1:20" x14ac:dyDescent="0.25">
      <c r="A123" t="s">
        <v>125</v>
      </c>
      <c r="B123" s="20">
        <f>COUNTIFS('S1 - Interventions'!$E:$E,B$6,'S1 - Interventions'!$AB:$AB,"*more*")</f>
        <v>3</v>
      </c>
      <c r="C123" s="20">
        <f>COUNTIFS('S1 - Interventions'!$E:$E,C$6,'S1 - Interventions'!$AB:$AB,"*more*")</f>
        <v>8</v>
      </c>
      <c r="D123" s="20">
        <f>COUNTIFS('S1 - Interventions'!$E:$E,D$6,'S1 - Interventions'!$AB:$AB,"*more*")</f>
        <v>3</v>
      </c>
      <c r="E123" s="25">
        <f t="shared" ref="E123:E124" si="47">SUM(B123:D123)</f>
        <v>14</v>
      </c>
      <c r="G123" t="s">
        <v>125</v>
      </c>
      <c r="H123" s="22">
        <f t="shared" si="46"/>
        <v>0.125</v>
      </c>
      <c r="I123" s="22">
        <f t="shared" si="46"/>
        <v>0.34782608695652173</v>
      </c>
      <c r="J123" s="22">
        <f>D123/D$7</f>
        <v>0.5</v>
      </c>
    </row>
    <row r="124" spans="1:20" x14ac:dyDescent="0.25">
      <c r="A124" t="s">
        <v>96</v>
      </c>
      <c r="B124" s="20">
        <f>COUNTIFS('S1 - Interventions'!$E:$E,B$6,'S1 - Interventions'!$AB:$AB,"unclear")</f>
        <v>0</v>
      </c>
      <c r="C124" s="20">
        <f>COUNTIFS('S1 - Interventions'!$E:$E,C$6,'S1 - Interventions'!$AB:$AB,"unclear")</f>
        <v>0</v>
      </c>
      <c r="D124" s="20">
        <f>COUNTIFS('S1 - Interventions'!$E:$E,D$6,'S1 - Interventions'!$AB:$AB,"unclear")</f>
        <v>0</v>
      </c>
      <c r="E124" s="25">
        <f t="shared" si="47"/>
        <v>0</v>
      </c>
      <c r="G124" t="s">
        <v>96</v>
      </c>
      <c r="H124" s="22">
        <f t="shared" ref="H124" si="48">B124/B$7</f>
        <v>0</v>
      </c>
      <c r="I124" s="22">
        <f t="shared" ref="I124" si="49">C124/C$7</f>
        <v>0</v>
      </c>
      <c r="J124" s="22">
        <f t="shared" ref="J124" si="50">D124/D$7</f>
        <v>0</v>
      </c>
    </row>
    <row r="125" spans="1:20" ht="15" customHeight="1" x14ac:dyDescent="0.25">
      <c r="A125" s="15" t="s">
        <v>686</v>
      </c>
      <c r="B125" s="33"/>
      <c r="C125" s="33"/>
      <c r="D125" s="33"/>
      <c r="E125" s="40"/>
      <c r="F125" s="40"/>
      <c r="G125" s="15" t="s">
        <v>686</v>
      </c>
      <c r="H125" s="33"/>
      <c r="I125" s="33"/>
      <c r="J125" s="33"/>
    </row>
    <row r="126" spans="1:20" ht="15" customHeight="1" x14ac:dyDescent="0.25">
      <c r="A126" t="s">
        <v>28</v>
      </c>
      <c r="B126" s="20">
        <f>COUNTIFS('S1 - Interventions'!$E:$E,B$6,'S1 - Interventions'!$U:$U,"*Yes*")</f>
        <v>13</v>
      </c>
      <c r="C126" s="20">
        <f>COUNTIFS('S1 - Interventions'!$E:$E,C$6,'S1 - Interventions'!$U:$U,"*Yes*")</f>
        <v>12</v>
      </c>
      <c r="D126" s="20">
        <f>COUNTIFS('S1 - Interventions'!$E:$E,D$6,'S1 - Interventions'!$U:$U,"*Yes*")</f>
        <v>3</v>
      </c>
      <c r="E126" s="25">
        <f>SUM(B126:D126)</f>
        <v>28</v>
      </c>
      <c r="G126" t="s">
        <v>28</v>
      </c>
      <c r="H126" s="22">
        <f t="shared" ref="H126:J127" si="51">B126/B$7</f>
        <v>0.54166666666666663</v>
      </c>
      <c r="I126" s="22">
        <f t="shared" si="51"/>
        <v>0.52173913043478259</v>
      </c>
      <c r="J126" s="22">
        <f t="shared" si="51"/>
        <v>0.5</v>
      </c>
    </row>
    <row r="127" spans="1:20" ht="15" customHeight="1" x14ac:dyDescent="0.25">
      <c r="A127" t="s">
        <v>34</v>
      </c>
      <c r="B127" s="20">
        <f>COUNTIFS('S1 - Interventions'!$E:$E,B$6,'S1 - Interventions'!$U:$U,"*No*")</f>
        <v>11</v>
      </c>
      <c r="C127" s="20">
        <f>COUNTIFS('S1 - Interventions'!$E:$E,C$6,'S1 - Interventions'!$U:$U,"*No*")</f>
        <v>11</v>
      </c>
      <c r="D127" s="20">
        <f>COUNTIFS('S1 - Interventions'!$E:$E,D$6,'S1 - Interventions'!$U:$U,"*No*")</f>
        <v>3</v>
      </c>
      <c r="E127" s="25">
        <f>SUM(B127:D127)</f>
        <v>25</v>
      </c>
      <c r="G127" t="s">
        <v>34</v>
      </c>
      <c r="H127" s="22">
        <f t="shared" si="51"/>
        <v>0.45833333333333331</v>
      </c>
      <c r="I127" s="22">
        <f t="shared" si="51"/>
        <v>0.47826086956521741</v>
      </c>
      <c r="J127" s="22">
        <f t="shared" si="51"/>
        <v>0.5</v>
      </c>
    </row>
    <row r="129" spans="1:20" ht="15" customHeight="1" x14ac:dyDescent="0.25">
      <c r="A129" s="15" t="s">
        <v>687</v>
      </c>
      <c r="B129" s="33"/>
      <c r="C129" s="33"/>
      <c r="D129" s="33"/>
      <c r="E129" s="40"/>
      <c r="F129" s="40"/>
      <c r="G129" s="15" t="s">
        <v>687</v>
      </c>
      <c r="H129" s="35"/>
      <c r="I129" s="35"/>
      <c r="J129" s="35"/>
      <c r="L129" s="15" t="s">
        <v>687</v>
      </c>
      <c r="M129" s="33"/>
      <c r="N129" s="33"/>
      <c r="O129" s="33"/>
      <c r="Q129" s="15" t="s">
        <v>687</v>
      </c>
      <c r="R129" s="33"/>
      <c r="S129" s="33"/>
      <c r="T129" s="33"/>
    </row>
    <row r="130" spans="1:20" ht="15" customHeight="1" x14ac:dyDescent="0.25">
      <c r="A130" s="42" t="s">
        <v>688</v>
      </c>
      <c r="B130" s="20">
        <f>COUNTIFS('S1 - Interventions'!$E:$E,B$6,'S1 - Interventions'!$S:$S,"4 weeks")+COUNTIFS('S1 - Interventions'!$E:$E,B$6,'S1 - Interventions'!$S:$S,"1 month")</f>
        <v>4</v>
      </c>
      <c r="C130" s="20">
        <f>COUNTIFS('S1 - Interventions'!$E:$E,C$6,'S1 - Interventions'!$S:$S,"4 weeks")+COUNTIFS('S1 - Interventions'!$E:$E,C$6,'S1 - Interventions'!$S:$S,"1 month")</f>
        <v>5</v>
      </c>
      <c r="D130" s="20">
        <f>COUNTIFS('S1 - Interventions'!$E:$E,D$6,'S1 - Interventions'!$S:$S,"4 weeks")+COUNTIFS('S1 - Interventions'!$E:$E,D$6,'S1 - Interventions'!$S:$S,"1 month")</f>
        <v>0</v>
      </c>
      <c r="E130" s="25">
        <f>SUM(B130:D130)</f>
        <v>9</v>
      </c>
      <c r="G130" s="42" t="s">
        <v>688</v>
      </c>
      <c r="H130" s="22">
        <f t="shared" ref="H130:H134" si="52">B130/B$7</f>
        <v>0.16666666666666666</v>
      </c>
      <c r="I130" s="22">
        <f t="shared" ref="I130:I134" si="53">C130/C$7</f>
        <v>0.21739130434782608</v>
      </c>
      <c r="J130" s="22">
        <f t="shared" ref="J130:J134" si="54">D130/D$7</f>
        <v>0</v>
      </c>
      <c r="L130" t="s">
        <v>689</v>
      </c>
      <c r="M130" s="20">
        <f>SUM(B130:B136)</f>
        <v>9</v>
      </c>
      <c r="N130" s="20">
        <f>SUM(C130:C136)</f>
        <v>11</v>
      </c>
      <c r="O130" s="20">
        <f>SUM(D130:D136)</f>
        <v>2</v>
      </c>
      <c r="Q130" t="s">
        <v>689</v>
      </c>
      <c r="R130" s="22">
        <f t="shared" ref="R130:T131" si="55">M130/B$7</f>
        <v>0.375</v>
      </c>
      <c r="S130" s="22">
        <f t="shared" si="55"/>
        <v>0.47826086956521741</v>
      </c>
      <c r="T130" s="22">
        <f t="shared" si="55"/>
        <v>0.33333333333333331</v>
      </c>
    </row>
    <row r="131" spans="1:20" ht="15" customHeight="1" x14ac:dyDescent="0.25">
      <c r="A131" t="s">
        <v>84</v>
      </c>
      <c r="B131" s="20">
        <f>COUNTIFS('S1 - Interventions'!$E:$E,B$6,'S1 - Interventions'!$S:$S,'S2 - Analysis, All'!$A131)</f>
        <v>1</v>
      </c>
      <c r="C131" s="20">
        <f>COUNTIFS('S1 - Interventions'!$E:$E,C$6,'S1 - Interventions'!$S:$S,'S2 - Analysis, All'!$A131)</f>
        <v>0</v>
      </c>
      <c r="D131" s="20">
        <f>COUNTIFS('S1 - Interventions'!$E:$E,D$6,'S1 - Interventions'!$S:$S,'S2 - Analysis, All'!$A131)</f>
        <v>0</v>
      </c>
      <c r="E131" s="25">
        <f t="shared" ref="E131:E143" si="56">SUM(B131:D131)</f>
        <v>1</v>
      </c>
      <c r="G131" t="s">
        <v>84</v>
      </c>
      <c r="H131" s="22">
        <f t="shared" si="52"/>
        <v>4.1666666666666664E-2</v>
      </c>
      <c r="I131" s="22">
        <f t="shared" si="53"/>
        <v>0</v>
      </c>
      <c r="J131" s="22">
        <f t="shared" si="54"/>
        <v>0</v>
      </c>
      <c r="L131" t="s">
        <v>690</v>
      </c>
      <c r="M131" s="20">
        <f>SUM(B137:B138)</f>
        <v>5</v>
      </c>
      <c r="N131" s="20">
        <f>SUM(C137:C138)</f>
        <v>2</v>
      </c>
      <c r="O131" s="20">
        <f>SUM(D137:D138)</f>
        <v>2</v>
      </c>
      <c r="Q131" t="s">
        <v>690</v>
      </c>
      <c r="R131" s="22">
        <f t="shared" si="55"/>
        <v>0.20833333333333334</v>
      </c>
      <c r="S131" s="22">
        <f t="shared" si="55"/>
        <v>8.6956521739130432E-2</v>
      </c>
      <c r="T131" s="22">
        <f t="shared" si="55"/>
        <v>0.33333333333333331</v>
      </c>
    </row>
    <row r="132" spans="1:20" ht="15" customHeight="1" x14ac:dyDescent="0.25">
      <c r="A132" t="s">
        <v>171</v>
      </c>
      <c r="B132" s="20">
        <f>COUNTIFS('S1 - Interventions'!$E:$E,B$6,'S1 - Interventions'!$S:$S,'S2 - Analysis, All'!$A132)</f>
        <v>0</v>
      </c>
      <c r="C132" s="20">
        <f>COUNTIFS('S1 - Interventions'!$E:$E,C$6,'S1 - Interventions'!$S:$S,'S2 - Analysis, All'!$A132)</f>
        <v>1</v>
      </c>
      <c r="D132" s="20">
        <f>COUNTIFS('S1 - Interventions'!$E:$E,D$6,'S1 - Interventions'!$S:$S,'S2 - Analysis, All'!$A132)</f>
        <v>0</v>
      </c>
      <c r="E132" s="25">
        <f t="shared" si="56"/>
        <v>1</v>
      </c>
      <c r="G132" t="s">
        <v>171</v>
      </c>
      <c r="H132" s="22">
        <f t="shared" si="52"/>
        <v>0</v>
      </c>
      <c r="I132" s="22">
        <f t="shared" si="53"/>
        <v>4.3478260869565216E-2</v>
      </c>
      <c r="J132" s="22">
        <f t="shared" si="54"/>
        <v>0</v>
      </c>
      <c r="L132" t="s">
        <v>691</v>
      </c>
      <c r="M132" s="20">
        <f>SUM(B139:B140)</f>
        <v>1</v>
      </c>
      <c r="N132" s="20">
        <f t="shared" ref="N132:O132" si="57">SUM(C139:C140)</f>
        <v>2</v>
      </c>
      <c r="O132" s="20">
        <f t="shared" si="57"/>
        <v>0</v>
      </c>
      <c r="Q132" t="s">
        <v>691</v>
      </c>
      <c r="R132" s="22">
        <f t="shared" ref="R132" si="58">M132/B$7</f>
        <v>4.1666666666666664E-2</v>
      </c>
      <c r="S132" s="22">
        <f t="shared" ref="S132" si="59">N132/C$7</f>
        <v>8.6956521739130432E-2</v>
      </c>
      <c r="T132" s="22">
        <f t="shared" ref="T132" si="60">O132/D$7</f>
        <v>0</v>
      </c>
    </row>
    <row r="133" spans="1:20" ht="15" customHeight="1" x14ac:dyDescent="0.25">
      <c r="A133" t="s">
        <v>692</v>
      </c>
      <c r="B133" s="20">
        <f>COUNTIFS('S1 - Interventions'!$E:$E,B$6,'S1 - Interventions'!$S:$S,"8 weeks")+COUNTIFS('S1 - Interventions'!$E:$E,B$6,'S1 - Interventions'!$S:$S,"2 months")</f>
        <v>2</v>
      </c>
      <c r="C133" s="20">
        <f>COUNTIFS('S1 - Interventions'!$E:$E,C$6,'S1 - Interventions'!$S:$S,"8 weeks")+COUNTIFS('S1 - Interventions'!$E:$E,C$6,'S1 - Interventions'!$S:$S,"2 months")</f>
        <v>0</v>
      </c>
      <c r="D133" s="20">
        <f>COUNTIFS('S1 - Interventions'!$E:$E,D$6,'S1 - Interventions'!$S:$S,"8 weeks")+COUNTIFS('S1 - Interventions'!$E:$E,D$6,'S1 - Interventions'!$S:$S,"2 months")</f>
        <v>0</v>
      </c>
      <c r="E133" s="25">
        <f t="shared" si="56"/>
        <v>2</v>
      </c>
      <c r="G133" t="s">
        <v>692</v>
      </c>
      <c r="H133" s="22">
        <f t="shared" si="52"/>
        <v>8.3333333333333329E-2</v>
      </c>
      <c r="I133" s="22">
        <f t="shared" si="53"/>
        <v>0</v>
      </c>
      <c r="J133" s="22">
        <f t="shared" si="54"/>
        <v>0</v>
      </c>
      <c r="L133" t="s">
        <v>693</v>
      </c>
      <c r="M133" s="20">
        <f>SUM(B141)</f>
        <v>9</v>
      </c>
      <c r="N133" s="20">
        <f t="shared" ref="N133:O133" si="61">SUM(C141)</f>
        <v>7</v>
      </c>
      <c r="O133" s="20">
        <f t="shared" si="61"/>
        <v>1</v>
      </c>
      <c r="Q133" t="s">
        <v>693</v>
      </c>
      <c r="R133" s="22">
        <f t="shared" ref="R133:T134" si="62">M133/B$7</f>
        <v>0.375</v>
      </c>
      <c r="S133" s="22">
        <f t="shared" si="62"/>
        <v>0.30434782608695654</v>
      </c>
      <c r="T133" s="22">
        <f t="shared" si="62"/>
        <v>0.16666666666666666</v>
      </c>
    </row>
    <row r="134" spans="1:20" ht="15" customHeight="1" x14ac:dyDescent="0.25">
      <c r="A134" t="s">
        <v>48</v>
      </c>
      <c r="B134" s="20">
        <f>COUNTIFS('S1 - Interventions'!$E:$E,B$6,'S1 - Interventions'!$S:$S,'S2 - Analysis, All'!$A134)</f>
        <v>1</v>
      </c>
      <c r="C134" s="20">
        <f>COUNTIFS('S1 - Interventions'!$E:$E,C$6,'S1 - Interventions'!$S:$S,'S2 - Analysis, All'!$A134)</f>
        <v>1</v>
      </c>
      <c r="D134" s="20">
        <f>COUNTIFS('S1 - Interventions'!$E:$E,D$6,'S1 - Interventions'!$S:$S,'S2 - Analysis, All'!$A134)</f>
        <v>0</v>
      </c>
      <c r="E134" s="25">
        <f t="shared" si="56"/>
        <v>2</v>
      </c>
      <c r="G134" t="s">
        <v>48</v>
      </c>
      <c r="H134" s="22">
        <f t="shared" si="52"/>
        <v>4.1666666666666664E-2</v>
      </c>
      <c r="I134" s="22">
        <f t="shared" si="53"/>
        <v>4.3478260869565216E-2</v>
      </c>
      <c r="J134" s="22">
        <f t="shared" si="54"/>
        <v>0</v>
      </c>
      <c r="L134" t="s">
        <v>694</v>
      </c>
      <c r="M134" s="20">
        <f>SUM(B142:B143)</f>
        <v>0</v>
      </c>
      <c r="N134" s="20">
        <f>SUM(C142:C143)</f>
        <v>1</v>
      </c>
      <c r="O134" s="20">
        <f>SUM(D142:D143)</f>
        <v>1</v>
      </c>
      <c r="Q134" t="s">
        <v>694</v>
      </c>
      <c r="R134" s="22">
        <f t="shared" si="62"/>
        <v>0</v>
      </c>
      <c r="S134" s="22">
        <f t="shared" si="62"/>
        <v>4.3478260869565216E-2</v>
      </c>
      <c r="T134" s="22">
        <f t="shared" si="62"/>
        <v>0.16666666666666666</v>
      </c>
    </row>
    <row r="135" spans="1:20" ht="15" customHeight="1" x14ac:dyDescent="0.25">
      <c r="A135" t="s">
        <v>337</v>
      </c>
      <c r="B135" s="20">
        <f>COUNTIFS('S1 - Interventions'!$E:$E,B$6,'S1 - Interventions'!$S:$S,'S2 - Analysis, All'!$A135)</f>
        <v>1</v>
      </c>
      <c r="C135" s="20">
        <f>COUNTIFS('S1 - Interventions'!$E:$E,C$6,'S1 - Interventions'!$S:$S,'S2 - Analysis, All'!$A135)</f>
        <v>0</v>
      </c>
      <c r="D135" s="20">
        <f>COUNTIFS('S1 - Interventions'!$E:$E,D$6,'S1 - Interventions'!$S:$S,'S2 - Analysis, All'!$A135)</f>
        <v>0</v>
      </c>
      <c r="E135" s="25">
        <f t="shared" si="56"/>
        <v>1</v>
      </c>
      <c r="G135" t="s">
        <v>337</v>
      </c>
      <c r="H135" s="22">
        <f t="shared" ref="H135:H143" si="63">B135/B$7</f>
        <v>4.1666666666666664E-2</v>
      </c>
      <c r="I135" s="22">
        <f t="shared" ref="I135:I143" si="64">C135/C$7</f>
        <v>0</v>
      </c>
      <c r="J135" s="22">
        <f t="shared" ref="J135:J143" si="65">D135/D$7</f>
        <v>0</v>
      </c>
      <c r="Q135" s="11"/>
    </row>
    <row r="136" spans="1:20" ht="15" customHeight="1" x14ac:dyDescent="0.25">
      <c r="A136" t="s">
        <v>695</v>
      </c>
      <c r="B136" s="20">
        <f>COUNTIFS('S1 - Interventions'!$E:$E,B$6,'S1 - Interventions'!$S:$S,"12 weeks")+COUNTIFS('S1 - Interventions'!$E:$E,B$6,'S1 - Interventions'!$S:$S,"3 months")</f>
        <v>0</v>
      </c>
      <c r="C136" s="20">
        <f>COUNTIFS('S1 - Interventions'!$E:$E,C$6,'S1 - Interventions'!$S:$S,"12 weeks")+COUNTIFS('S1 - Interventions'!$E:$E,C$6,'S1 - Interventions'!$S:$S,"3 months")</f>
        <v>4</v>
      </c>
      <c r="D136" s="20">
        <f>COUNTIFS('S1 - Interventions'!$E:$E,D$6,'S1 - Interventions'!$S:$S,"12 weeks")+COUNTIFS('S1 - Interventions'!$E:$E,D$6,'S1 - Interventions'!$S:$S,"3 months")</f>
        <v>2</v>
      </c>
      <c r="E136" s="25">
        <f t="shared" si="56"/>
        <v>6</v>
      </c>
      <c r="G136" t="s">
        <v>695</v>
      </c>
      <c r="H136" s="22">
        <f>B136/B$7</f>
        <v>0</v>
      </c>
      <c r="I136" s="22">
        <f t="shared" si="64"/>
        <v>0.17391304347826086</v>
      </c>
      <c r="J136" s="22">
        <f t="shared" si="65"/>
        <v>0.33333333333333331</v>
      </c>
    </row>
    <row r="137" spans="1:20" ht="15" customHeight="1" x14ac:dyDescent="0.25">
      <c r="A137" t="s">
        <v>398</v>
      </c>
      <c r="B137" s="20">
        <f>COUNTIFS('S1 - Interventions'!$E:$E,B$6,'S1 - Interventions'!$S:$S,'S2 - Analysis, All'!$A137)</f>
        <v>1</v>
      </c>
      <c r="C137" s="20">
        <f>COUNTIFS('S1 - Interventions'!$E:$E,C$6,'S1 - Interventions'!$S:$S,'S2 - Analysis, All'!$A137)</f>
        <v>0</v>
      </c>
      <c r="D137" s="20">
        <f>COUNTIFS('S1 - Interventions'!$E:$E,D$6,'S1 - Interventions'!$S:$S,'S2 - Analysis, All'!$A137)</f>
        <v>0</v>
      </c>
      <c r="E137" s="25">
        <f t="shared" si="56"/>
        <v>1</v>
      </c>
      <c r="G137" t="s">
        <v>398</v>
      </c>
      <c r="H137" s="22">
        <f t="shared" si="63"/>
        <v>4.1666666666666664E-2</v>
      </c>
      <c r="I137" s="22">
        <f t="shared" si="64"/>
        <v>0</v>
      </c>
      <c r="J137" s="22">
        <f t="shared" si="65"/>
        <v>0</v>
      </c>
    </row>
    <row r="138" spans="1:20" ht="15" customHeight="1" x14ac:dyDescent="0.25">
      <c r="A138" t="s">
        <v>60</v>
      </c>
      <c r="B138" s="20">
        <f>COUNTIFS('S1 - Interventions'!$E:$E,B$6,'S1 - Interventions'!$S:$S,'S2 - Analysis, All'!$A138)</f>
        <v>4</v>
      </c>
      <c r="C138" s="20">
        <f>COUNTIFS('S1 - Interventions'!$E:$E,C$6,'S1 - Interventions'!$S:$S,'S2 - Analysis, All'!$A138)</f>
        <v>2</v>
      </c>
      <c r="D138" s="20">
        <f>COUNTIFS('S1 - Interventions'!$E:$E,D$6,'S1 - Interventions'!$S:$S,'S2 - Analysis, All'!$A138)</f>
        <v>2</v>
      </c>
      <c r="E138" s="25">
        <f t="shared" si="56"/>
        <v>8</v>
      </c>
      <c r="G138" t="s">
        <v>60</v>
      </c>
      <c r="H138" s="22">
        <f t="shared" si="63"/>
        <v>0.16666666666666666</v>
      </c>
      <c r="I138" s="22">
        <f t="shared" si="64"/>
        <v>8.6956521739130432E-2</v>
      </c>
      <c r="J138" s="22">
        <f t="shared" si="65"/>
        <v>0.33333333333333331</v>
      </c>
    </row>
    <row r="139" spans="1:20" ht="15" customHeight="1" x14ac:dyDescent="0.25">
      <c r="A139" t="s">
        <v>350</v>
      </c>
      <c r="B139" s="20">
        <f>COUNTIFS('S1 - Interventions'!$E:$E,B$6,'S1 - Interventions'!$S:$S,'S2 - Analysis, All'!$A139)</f>
        <v>1</v>
      </c>
      <c r="C139" s="20">
        <f>COUNTIFS('S1 - Interventions'!$E:$E,C$6,'S1 - Interventions'!$S:$S,'S2 - Analysis, All'!$A139)</f>
        <v>0</v>
      </c>
      <c r="D139" s="20">
        <f>COUNTIFS('S1 - Interventions'!$E:$E,D$6,'S1 - Interventions'!$S:$S,'S2 - Analysis, All'!$A139)</f>
        <v>0</v>
      </c>
      <c r="E139" s="25">
        <f t="shared" si="56"/>
        <v>1</v>
      </c>
      <c r="G139" t="s">
        <v>350</v>
      </c>
      <c r="H139" s="22">
        <f t="shared" si="63"/>
        <v>4.1666666666666664E-2</v>
      </c>
      <c r="I139" s="22">
        <f t="shared" si="64"/>
        <v>0</v>
      </c>
      <c r="J139" s="22">
        <f t="shared" si="65"/>
        <v>0</v>
      </c>
    </row>
    <row r="140" spans="1:20" ht="15" customHeight="1" x14ac:dyDescent="0.25">
      <c r="A140" t="s">
        <v>235</v>
      </c>
      <c r="B140" s="20">
        <f>COUNTIFS('S1 - Interventions'!$E:$E,B$6,'S1 - Interventions'!$S:$S,'S2 - Analysis, All'!$A140)</f>
        <v>0</v>
      </c>
      <c r="C140" s="20">
        <f>COUNTIFS('S1 - Interventions'!$E:$E,C$6,'S1 - Interventions'!$S:$S,'S2 - Analysis, All'!$A140)</f>
        <v>2</v>
      </c>
      <c r="D140" s="20">
        <f>COUNTIFS('S1 - Interventions'!$E:$E,D$6,'S1 - Interventions'!$S:$S,'S2 - Analysis, All'!$A140)</f>
        <v>0</v>
      </c>
      <c r="E140" s="25">
        <f t="shared" si="56"/>
        <v>2</v>
      </c>
      <c r="G140" t="s">
        <v>235</v>
      </c>
      <c r="H140" s="22">
        <f t="shared" si="63"/>
        <v>0</v>
      </c>
      <c r="I140" s="22">
        <f t="shared" si="64"/>
        <v>8.6956521739130432E-2</v>
      </c>
      <c r="J140" s="22">
        <f t="shared" si="65"/>
        <v>0</v>
      </c>
    </row>
    <row r="141" spans="1:20" ht="15" customHeight="1" x14ac:dyDescent="0.25">
      <c r="A141" t="s">
        <v>35</v>
      </c>
      <c r="B141" s="20">
        <f>COUNTIFS('S1 - Interventions'!$E:$E,B$6,'S1 - Interventions'!$S:$S,'S2 - Analysis, All'!$A141)</f>
        <v>9</v>
      </c>
      <c r="C141" s="20">
        <f>COUNTIFS('S1 - Interventions'!$E:$E,C$6,'S1 - Interventions'!$S:$S,'S2 - Analysis, All'!$A141)</f>
        <v>7</v>
      </c>
      <c r="D141" s="20">
        <f>COUNTIFS('S1 - Interventions'!$E:$E,D$6,'S1 - Interventions'!$S:$S,'S2 - Analysis, All'!$A141)</f>
        <v>1</v>
      </c>
      <c r="E141" s="25">
        <f t="shared" si="56"/>
        <v>17</v>
      </c>
      <c r="G141" t="s">
        <v>35</v>
      </c>
      <c r="H141" s="22">
        <f t="shared" si="63"/>
        <v>0.375</v>
      </c>
      <c r="I141" s="22">
        <f t="shared" si="64"/>
        <v>0.30434782608695654</v>
      </c>
      <c r="J141" s="22">
        <f t="shared" si="65"/>
        <v>0.16666666666666666</v>
      </c>
    </row>
    <row r="142" spans="1:20" ht="15" customHeight="1" x14ac:dyDescent="0.25">
      <c r="A142" t="s">
        <v>303</v>
      </c>
      <c r="B142" s="20">
        <f>COUNTIFS('S1 - Interventions'!$E:$E,B$6,'S1 - Interventions'!$S:$S,'S2 - Analysis, All'!$A142)</f>
        <v>0</v>
      </c>
      <c r="C142" s="20">
        <f>COUNTIFS('S1 - Interventions'!$E:$E,C$6,'S1 - Interventions'!$S:$S,'S2 - Analysis, All'!$A142)</f>
        <v>0</v>
      </c>
      <c r="D142" s="20">
        <f>COUNTIFS('S1 - Interventions'!$E:$E,D$6,'S1 - Interventions'!$S:$S,'S2 - Analysis, All'!$A142)</f>
        <v>1</v>
      </c>
      <c r="E142" s="25">
        <f t="shared" si="56"/>
        <v>1</v>
      </c>
      <c r="G142" t="s">
        <v>303</v>
      </c>
      <c r="H142" s="22">
        <f t="shared" si="63"/>
        <v>0</v>
      </c>
      <c r="I142" s="22">
        <f t="shared" si="64"/>
        <v>0</v>
      </c>
      <c r="J142" s="22">
        <f t="shared" si="65"/>
        <v>0.16666666666666666</v>
      </c>
    </row>
    <row r="143" spans="1:20" ht="15" customHeight="1" x14ac:dyDescent="0.25">
      <c r="A143" t="s">
        <v>571</v>
      </c>
      <c r="B143" s="20">
        <f>COUNTIFS('S1 - Interventions'!$E:$E,B$6,'S1 - Interventions'!$S:$S,'S2 - Analysis, All'!$A143)</f>
        <v>0</v>
      </c>
      <c r="C143" s="20">
        <f>COUNTIFS('S1 - Interventions'!$E:$E,C$6,'S1 - Interventions'!$S:$S,'S2 - Analysis, All'!$A143)</f>
        <v>1</v>
      </c>
      <c r="D143" s="20">
        <f>COUNTIFS('S1 - Interventions'!$E:$E,D$6,'S1 - Interventions'!$S:$S,'S2 - Analysis, All'!$A143)</f>
        <v>0</v>
      </c>
      <c r="E143" s="25">
        <f t="shared" si="56"/>
        <v>1</v>
      </c>
      <c r="G143" t="s">
        <v>571</v>
      </c>
      <c r="H143" s="22">
        <f t="shared" si="63"/>
        <v>0</v>
      </c>
      <c r="I143" s="22">
        <f t="shared" si="64"/>
        <v>4.3478260869565216E-2</v>
      </c>
      <c r="J143" s="22">
        <f t="shared" si="65"/>
        <v>0</v>
      </c>
    </row>
  </sheetData>
  <sortState xmlns:xlrd2="http://schemas.microsoft.com/office/spreadsheetml/2017/richdata2" ref="A70:J80">
    <sortCondition descending="1" ref="E70:E80"/>
  </sortState>
  <conditionalFormatting sqref="T20">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T26">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onditionalFormatting>
  <conditionalFormatting sqref="T44">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76C0-D369-4FC6-A33C-EDDCAF5FC83B}">
  <sheetPr>
    <tabColor rgb="FF00B050"/>
  </sheetPr>
  <dimension ref="A1:U143"/>
  <sheetViews>
    <sheetView zoomScaleNormal="100" workbookViewId="0">
      <pane ySplit="7" topLeftCell="A8" activePane="bottomLeft" state="frozen"/>
      <selection pane="bottomLeft" activeCell="A8" sqref="A8"/>
    </sheetView>
  </sheetViews>
  <sheetFormatPr defaultRowHeight="15" x14ac:dyDescent="0.25"/>
  <cols>
    <col min="1" max="1" width="28.5703125" customWidth="1"/>
    <col min="2" max="4" width="10.7109375" style="20" customWidth="1"/>
    <col min="5" max="5" width="7.140625" customWidth="1"/>
    <col min="6" max="6" width="28.5703125" customWidth="1"/>
    <col min="7" max="8" width="10.7109375" style="22" customWidth="1"/>
    <col min="9" max="9" width="10.7109375" style="20" customWidth="1"/>
    <col min="10" max="10" width="10.7109375" style="51" customWidth="1"/>
    <col min="11" max="11" width="7.140625" customWidth="1"/>
    <col min="12" max="12" width="28.5703125" customWidth="1"/>
    <col min="13" max="15" width="10.7109375" style="20" customWidth="1"/>
    <col min="16" max="16" width="7.140625" customWidth="1"/>
    <col min="17" max="17" width="28.5703125" customWidth="1"/>
    <col min="18" max="20" width="10.7109375" style="22" customWidth="1"/>
    <col min="21" max="21" width="10.7109375" style="51" customWidth="1"/>
  </cols>
  <sheetData>
    <row r="1" spans="1:21" ht="18.75" x14ac:dyDescent="0.3">
      <c r="A1" s="139" t="s">
        <v>779</v>
      </c>
      <c r="B1"/>
      <c r="C1" s="72"/>
      <c r="D1" s="72"/>
      <c r="E1" s="20"/>
      <c r="F1" s="20"/>
      <c r="G1" s="20"/>
      <c r="H1" s="20"/>
      <c r="J1"/>
      <c r="R1" s="20"/>
      <c r="S1" s="20"/>
      <c r="T1" s="20"/>
      <c r="U1" s="20"/>
    </row>
    <row r="2" spans="1:21" ht="15" customHeight="1" x14ac:dyDescent="0.25">
      <c r="A2" s="42" t="s">
        <v>696</v>
      </c>
      <c r="B2"/>
      <c r="C2" s="72"/>
      <c r="D2" s="72"/>
      <c r="E2" s="20"/>
      <c r="F2" s="20"/>
      <c r="G2" s="20"/>
      <c r="H2" s="20"/>
      <c r="J2"/>
      <c r="R2" s="20"/>
      <c r="S2" s="20"/>
      <c r="T2" s="20"/>
      <c r="U2" s="20"/>
    </row>
    <row r="3" spans="1:21" ht="15" customHeight="1" x14ac:dyDescent="0.25">
      <c r="A3" s="42"/>
      <c r="B3"/>
      <c r="C3" s="72"/>
      <c r="D3" s="72"/>
      <c r="E3" s="20"/>
      <c r="F3" s="20"/>
      <c r="G3" s="20"/>
      <c r="H3" s="20"/>
      <c r="J3"/>
      <c r="R3" s="20"/>
      <c r="S3" s="20"/>
      <c r="T3" s="20"/>
      <c r="U3" s="20"/>
    </row>
    <row r="4" spans="1:21" ht="15" customHeight="1" x14ac:dyDescent="0.25">
      <c r="A4" s="42"/>
      <c r="B4"/>
      <c r="C4" s="72"/>
      <c r="D4" s="72"/>
      <c r="E4" s="20"/>
      <c r="F4" s="20"/>
      <c r="G4" s="20"/>
      <c r="H4" s="20"/>
      <c r="J4"/>
      <c r="R4" s="20"/>
      <c r="S4" s="20"/>
      <c r="T4" s="20"/>
      <c r="U4" s="20"/>
    </row>
    <row r="5" spans="1:21" s="1" customFormat="1" ht="15" customHeight="1" x14ac:dyDescent="0.25">
      <c r="M5" s="41"/>
      <c r="N5" s="41"/>
      <c r="O5" s="41"/>
      <c r="R5" s="41"/>
      <c r="S5" s="41"/>
      <c r="T5" s="41"/>
      <c r="U5" s="41"/>
    </row>
    <row r="6" spans="1:21" s="16" customFormat="1" ht="30" x14ac:dyDescent="0.25">
      <c r="B6" s="54" t="s">
        <v>776</v>
      </c>
      <c r="C6" s="55" t="s">
        <v>777</v>
      </c>
      <c r="D6" s="17" t="s">
        <v>598</v>
      </c>
      <c r="G6" s="54" t="s">
        <v>776</v>
      </c>
      <c r="H6" s="55" t="s">
        <v>777</v>
      </c>
      <c r="I6" s="17" t="s">
        <v>697</v>
      </c>
      <c r="J6" s="49" t="s">
        <v>698</v>
      </c>
      <c r="M6" s="54" t="s">
        <v>776</v>
      </c>
      <c r="N6" s="55" t="s">
        <v>777</v>
      </c>
      <c r="O6" s="17" t="s">
        <v>598</v>
      </c>
      <c r="R6" s="54" t="s">
        <v>776</v>
      </c>
      <c r="S6" s="55" t="s">
        <v>777</v>
      </c>
      <c r="T6" s="18" t="s">
        <v>697</v>
      </c>
      <c r="U6" s="49" t="s">
        <v>698</v>
      </c>
    </row>
    <row r="7" spans="1:21" s="11" customFormat="1" x14ac:dyDescent="0.25">
      <c r="A7" s="15" t="s">
        <v>599</v>
      </c>
      <c r="B7" s="19">
        <f>'S2 - Analysis, All'!B7</f>
        <v>24</v>
      </c>
      <c r="C7" s="19">
        <f>'S2 - Analysis, All'!C7</f>
        <v>23</v>
      </c>
      <c r="D7" s="29">
        <f>B7+C7</f>
        <v>47</v>
      </c>
      <c r="E7" s="15"/>
      <c r="F7" s="15" t="s">
        <v>600</v>
      </c>
      <c r="G7" s="21"/>
      <c r="H7" s="21"/>
      <c r="I7" s="21"/>
      <c r="J7" s="50"/>
      <c r="L7" s="15" t="s">
        <v>599</v>
      </c>
      <c r="M7" s="19">
        <f>COUNTIFS('S1 - Interventions'!$E:$E,M$6)</f>
        <v>24</v>
      </c>
      <c r="N7" s="19">
        <f>COUNTIFS('S1 - Interventions'!$E:$E,N$6)</f>
        <v>23</v>
      </c>
      <c r="O7" s="29">
        <f>M7+N7</f>
        <v>47</v>
      </c>
      <c r="P7" s="15"/>
      <c r="Q7" s="15" t="s">
        <v>600</v>
      </c>
      <c r="R7" s="15"/>
      <c r="S7" s="15"/>
      <c r="T7" s="15"/>
      <c r="U7" s="15"/>
    </row>
    <row r="8" spans="1:21" x14ac:dyDescent="0.25">
      <c r="A8" s="15" t="s">
        <v>601</v>
      </c>
      <c r="B8" s="19"/>
      <c r="C8" s="19"/>
      <c r="D8" s="19"/>
      <c r="E8" s="15"/>
      <c r="F8" s="15" t="s">
        <v>601</v>
      </c>
      <c r="G8" s="21"/>
      <c r="H8" s="21"/>
      <c r="I8" s="19"/>
      <c r="J8" s="50"/>
    </row>
    <row r="9" spans="1:21" x14ac:dyDescent="0.25">
      <c r="A9" t="s">
        <v>28</v>
      </c>
      <c r="B9" s="20">
        <f>'S2 - Analysis, All'!B9</f>
        <v>20</v>
      </c>
      <c r="C9" s="20">
        <f>'S2 - Analysis, All'!C9</f>
        <v>13</v>
      </c>
      <c r="D9" s="20">
        <f>B9+C9</f>
        <v>33</v>
      </c>
      <c r="F9" t="s">
        <v>28</v>
      </c>
      <c r="G9" s="22">
        <f>B9/B$7</f>
        <v>0.83333333333333337</v>
      </c>
      <c r="H9" s="22">
        <f>C9/C$7</f>
        <v>0.56521739130434778</v>
      </c>
      <c r="I9" s="22">
        <f>G9-H9</f>
        <v>0.26811594202898559</v>
      </c>
      <c r="J9" s="51">
        <v>5.9884289E-2</v>
      </c>
    </row>
    <row r="10" spans="1:21" x14ac:dyDescent="0.25">
      <c r="A10" t="s">
        <v>34</v>
      </c>
      <c r="B10" s="20">
        <f>'S2 - Analysis, All'!B10</f>
        <v>4</v>
      </c>
      <c r="C10" s="20">
        <f>'S2 - Analysis, All'!C10</f>
        <v>10</v>
      </c>
      <c r="D10" s="20">
        <f>B10+C10</f>
        <v>14</v>
      </c>
      <c r="F10" t="s">
        <v>34</v>
      </c>
      <c r="G10" s="22">
        <f>B10/B$7</f>
        <v>0.16666666666666666</v>
      </c>
      <c r="H10" s="22">
        <f>C10/C$7</f>
        <v>0.43478260869565216</v>
      </c>
      <c r="I10" s="22">
        <f>G10-H10</f>
        <v>-0.26811594202898548</v>
      </c>
      <c r="J10" s="51">
        <v>5.9884289E-2</v>
      </c>
    </row>
    <row r="11" spans="1:21" s="11" customFormat="1" x14ac:dyDescent="0.25">
      <c r="A11" s="15" t="s">
        <v>602</v>
      </c>
      <c r="B11" s="19"/>
      <c r="C11" s="19"/>
      <c r="D11" s="19"/>
      <c r="E11" s="15"/>
      <c r="F11" s="15" t="s">
        <v>602</v>
      </c>
      <c r="G11" s="21"/>
      <c r="H11" s="21"/>
      <c r="I11" s="19"/>
      <c r="J11" s="50"/>
      <c r="M11" s="25"/>
      <c r="N11" s="25"/>
      <c r="O11" s="25"/>
      <c r="R11" s="26"/>
      <c r="S11" s="26"/>
      <c r="T11" s="26"/>
      <c r="U11" s="53"/>
    </row>
    <row r="12" spans="1:21" x14ac:dyDescent="0.25">
      <c r="A12" t="s">
        <v>44</v>
      </c>
      <c r="B12" s="20">
        <f>'S2 - Analysis, All'!B12</f>
        <v>13</v>
      </c>
      <c r="C12" s="20">
        <f>'S2 - Analysis, All'!C12</f>
        <v>9</v>
      </c>
      <c r="D12" s="20">
        <f t="shared" ref="D12:D19" si="0">B12+C12</f>
        <v>22</v>
      </c>
      <c r="F12" t="s">
        <v>604</v>
      </c>
      <c r="G12" s="22">
        <f t="shared" ref="G12:H19" si="1">B12/B$7</f>
        <v>0.54166666666666663</v>
      </c>
      <c r="H12" s="22">
        <f t="shared" si="1"/>
        <v>0.39130434782608697</v>
      </c>
      <c r="I12" s="22">
        <f t="shared" ref="I12:I19" si="2">G12-H12</f>
        <v>0.15036231884057966</v>
      </c>
      <c r="J12" s="51">
        <v>0.385159207</v>
      </c>
    </row>
    <row r="13" spans="1:21" x14ac:dyDescent="0.25">
      <c r="A13" t="s">
        <v>699</v>
      </c>
      <c r="B13" s="20">
        <f>'S2 - Analysis, All'!B13</f>
        <v>6</v>
      </c>
      <c r="C13" s="20">
        <f>'S2 - Analysis, All'!C13</f>
        <v>12</v>
      </c>
      <c r="D13" s="20">
        <f t="shared" si="0"/>
        <v>18</v>
      </c>
      <c r="F13" t="s">
        <v>700</v>
      </c>
      <c r="G13" s="22">
        <f t="shared" si="1"/>
        <v>0.25</v>
      </c>
      <c r="H13" s="22">
        <f t="shared" si="1"/>
        <v>0.52173913043478259</v>
      </c>
      <c r="I13" s="22">
        <f t="shared" si="2"/>
        <v>-0.27173913043478259</v>
      </c>
      <c r="J13" s="51">
        <v>7.5345499999999996E-2</v>
      </c>
    </row>
    <row r="14" spans="1:21" x14ac:dyDescent="0.25">
      <c r="A14" t="s">
        <v>567</v>
      </c>
      <c r="B14" s="20">
        <f>'S2 - Analysis, All'!B14</f>
        <v>3</v>
      </c>
      <c r="C14" s="20">
        <f>'S2 - Analysis, All'!C14</f>
        <v>9</v>
      </c>
      <c r="D14" s="20">
        <f t="shared" si="0"/>
        <v>12</v>
      </c>
      <c r="F14" t="s">
        <v>567</v>
      </c>
      <c r="G14" s="22">
        <f t="shared" si="1"/>
        <v>0.125</v>
      </c>
      <c r="H14" s="22">
        <f t="shared" si="1"/>
        <v>0.39130434782608697</v>
      </c>
      <c r="I14" s="22">
        <f t="shared" si="2"/>
        <v>-0.26630434782608697</v>
      </c>
      <c r="J14" s="51">
        <v>4.8991412999999998E-2</v>
      </c>
    </row>
    <row r="15" spans="1:21" x14ac:dyDescent="0.25">
      <c r="A15" t="s">
        <v>606</v>
      </c>
      <c r="B15" s="20">
        <f>'S2 - Analysis, All'!B15</f>
        <v>6</v>
      </c>
      <c r="C15" s="20">
        <f>'S2 - Analysis, All'!C15</f>
        <v>1</v>
      </c>
      <c r="D15" s="20">
        <f t="shared" si="0"/>
        <v>7</v>
      </c>
      <c r="F15" t="s">
        <v>606</v>
      </c>
      <c r="G15" s="22">
        <f t="shared" si="1"/>
        <v>0.25</v>
      </c>
      <c r="H15" s="22">
        <f t="shared" si="1"/>
        <v>4.3478260869565216E-2</v>
      </c>
      <c r="I15" s="22">
        <f t="shared" si="2"/>
        <v>0.20652173913043478</v>
      </c>
      <c r="J15" s="51">
        <v>9.7146626999999999E-2</v>
      </c>
    </row>
    <row r="16" spans="1:21" x14ac:dyDescent="0.25">
      <c r="A16" t="s">
        <v>607</v>
      </c>
      <c r="B16" s="20">
        <f>'S2 - Analysis, All'!B16</f>
        <v>2</v>
      </c>
      <c r="C16" s="20">
        <f>'S2 - Analysis, All'!C16</f>
        <v>1</v>
      </c>
      <c r="D16" s="20">
        <f t="shared" si="0"/>
        <v>3</v>
      </c>
      <c r="F16" t="s">
        <v>607</v>
      </c>
      <c r="G16" s="22">
        <f t="shared" si="1"/>
        <v>8.3333333333333329E-2</v>
      </c>
      <c r="H16" s="22">
        <f t="shared" si="1"/>
        <v>4.3478260869565216E-2</v>
      </c>
      <c r="I16" s="22">
        <f t="shared" si="2"/>
        <v>3.9855072463768113E-2</v>
      </c>
      <c r="J16" s="51">
        <v>1</v>
      </c>
    </row>
    <row r="17" spans="1:21" x14ac:dyDescent="0.25">
      <c r="A17" t="s">
        <v>608</v>
      </c>
      <c r="B17" s="20">
        <f>'S2 - Analysis, All'!B17</f>
        <v>2</v>
      </c>
      <c r="C17" s="20">
        <f>'S2 - Analysis, All'!C17</f>
        <v>1</v>
      </c>
      <c r="D17" s="20">
        <f t="shared" si="0"/>
        <v>3</v>
      </c>
      <c r="F17" t="s">
        <v>608</v>
      </c>
      <c r="G17" s="22">
        <f t="shared" si="1"/>
        <v>8.3333333333333329E-2</v>
      </c>
      <c r="H17" s="22">
        <f t="shared" si="1"/>
        <v>4.3478260869565216E-2</v>
      </c>
      <c r="I17" s="22">
        <f t="shared" si="2"/>
        <v>3.9855072463768113E-2</v>
      </c>
      <c r="J17" s="51">
        <v>1</v>
      </c>
    </row>
    <row r="18" spans="1:21" x14ac:dyDescent="0.25">
      <c r="A18" t="s">
        <v>609</v>
      </c>
      <c r="B18" s="20">
        <f>'S2 - Analysis, All'!B18</f>
        <v>1</v>
      </c>
      <c r="C18" s="20">
        <f>'S2 - Analysis, All'!C18</f>
        <v>1</v>
      </c>
      <c r="D18" s="20">
        <f t="shared" si="0"/>
        <v>2</v>
      </c>
      <c r="F18" t="s">
        <v>610</v>
      </c>
      <c r="G18" s="22">
        <f t="shared" si="1"/>
        <v>4.1666666666666664E-2</v>
      </c>
      <c r="H18" s="22">
        <f t="shared" si="1"/>
        <v>4.3478260869565216E-2</v>
      </c>
      <c r="I18" s="22">
        <f t="shared" si="2"/>
        <v>-1.8115942028985518E-3</v>
      </c>
      <c r="J18" s="51">
        <v>1</v>
      </c>
    </row>
    <row r="19" spans="1:21" x14ac:dyDescent="0.25">
      <c r="A19" t="s">
        <v>701</v>
      </c>
      <c r="B19" s="20">
        <f>'S2 - Analysis, All'!B19</f>
        <v>1</v>
      </c>
      <c r="C19" s="20">
        <f>'S2 - Analysis, All'!C19</f>
        <v>3</v>
      </c>
      <c r="D19" s="20">
        <f t="shared" si="0"/>
        <v>4</v>
      </c>
      <c r="F19" t="s">
        <v>701</v>
      </c>
      <c r="G19" s="22">
        <f t="shared" si="1"/>
        <v>4.1666666666666664E-2</v>
      </c>
      <c r="H19" s="22">
        <f t="shared" si="1"/>
        <v>0.13043478260869565</v>
      </c>
      <c r="I19" s="22">
        <f t="shared" si="2"/>
        <v>-8.8768115942028991E-2</v>
      </c>
      <c r="J19" s="51">
        <v>0.34751773000000002</v>
      </c>
    </row>
    <row r="20" spans="1:21" x14ac:dyDescent="0.25">
      <c r="A20" s="15" t="s">
        <v>612</v>
      </c>
      <c r="B20" s="19"/>
      <c r="C20" s="19"/>
      <c r="D20" s="19"/>
      <c r="E20" s="15"/>
      <c r="F20" s="15" t="s">
        <v>612</v>
      </c>
      <c r="G20" s="21"/>
      <c r="H20" s="21"/>
      <c r="I20" s="21"/>
      <c r="J20" s="50"/>
      <c r="L20" s="15" t="s">
        <v>613</v>
      </c>
      <c r="M20" s="19"/>
      <c r="N20" s="19"/>
      <c r="O20" s="19"/>
      <c r="P20" s="19"/>
      <c r="Q20" s="15" t="s">
        <v>613</v>
      </c>
      <c r="R20" s="21"/>
      <c r="S20" s="21"/>
      <c r="T20" s="21"/>
      <c r="U20" s="50"/>
    </row>
    <row r="21" spans="1:21" x14ac:dyDescent="0.25">
      <c r="A21" t="s">
        <v>614</v>
      </c>
      <c r="B21" s="20">
        <f>'S2 - Analysis, All'!B21</f>
        <v>17</v>
      </c>
      <c r="C21" s="20">
        <f>'S2 - Analysis, All'!C21</f>
        <v>16</v>
      </c>
      <c r="D21" s="20">
        <f>B21+C21</f>
        <v>33</v>
      </c>
      <c r="F21" t="s">
        <v>614</v>
      </c>
      <c r="G21" s="22">
        <f t="shared" ref="G21:H24" si="3">B21/B$7</f>
        <v>0.70833333333333337</v>
      </c>
      <c r="H21" s="22">
        <f t="shared" si="3"/>
        <v>0.69565217391304346</v>
      </c>
      <c r="I21" s="22">
        <f>G21-H21</f>
        <v>1.2681159420289911E-2</v>
      </c>
      <c r="J21" s="51">
        <v>1</v>
      </c>
      <c r="L21" t="s">
        <v>614</v>
      </c>
      <c r="M21" s="20">
        <f>'S2 - Analysis, All'!M21</f>
        <v>17</v>
      </c>
      <c r="N21" s="20">
        <f>'S2 - Analysis, All'!N21</f>
        <v>16</v>
      </c>
      <c r="O21" s="20">
        <f>M21+N21</f>
        <v>33</v>
      </c>
      <c r="Q21" t="s">
        <v>614</v>
      </c>
      <c r="R21" s="24">
        <f>M21/B$7</f>
        <v>0.70833333333333337</v>
      </c>
      <c r="S21" s="24">
        <f>N21/C$7</f>
        <v>0.69565217391304346</v>
      </c>
      <c r="T21" s="22">
        <f>R21-S21</f>
        <v>1.2681159420289911E-2</v>
      </c>
      <c r="U21" s="51">
        <v>1</v>
      </c>
    </row>
    <row r="22" spans="1:21" x14ac:dyDescent="0.25">
      <c r="A22" t="s">
        <v>615</v>
      </c>
      <c r="B22" s="20">
        <f>'S2 - Analysis, All'!B22</f>
        <v>4</v>
      </c>
      <c r="C22" s="20">
        <f>'S2 - Analysis, All'!C22</f>
        <v>3</v>
      </c>
      <c r="D22" s="20">
        <f>B22+C22</f>
        <v>7</v>
      </c>
      <c r="F22" t="s">
        <v>615</v>
      </c>
      <c r="G22" s="22">
        <f t="shared" si="3"/>
        <v>0.16666666666666666</v>
      </c>
      <c r="H22" s="22">
        <f t="shared" si="3"/>
        <v>0.13043478260869565</v>
      </c>
      <c r="I22" s="22">
        <f>G22-H22</f>
        <v>3.6231884057971009E-2</v>
      </c>
      <c r="J22" s="51">
        <v>1</v>
      </c>
      <c r="L22" t="s">
        <v>616</v>
      </c>
      <c r="M22" s="20">
        <f>'S2 - Analysis, All'!M22</f>
        <v>7</v>
      </c>
      <c r="N22" s="20">
        <f>'S2 - Analysis, All'!N22</f>
        <v>7</v>
      </c>
      <c r="O22" s="20">
        <f>M22+N22</f>
        <v>14</v>
      </c>
      <c r="Q22" t="s">
        <v>616</v>
      </c>
      <c r="R22" s="24">
        <f>M22/B$7</f>
        <v>0.29166666666666669</v>
      </c>
      <c r="S22" s="24">
        <f>N22/C$7</f>
        <v>0.30434782608695654</v>
      </c>
      <c r="T22" s="22">
        <f>R22-S22</f>
        <v>-1.2681159420289856E-2</v>
      </c>
      <c r="U22" s="51">
        <v>1</v>
      </c>
    </row>
    <row r="23" spans="1:21" x14ac:dyDescent="0.25">
      <c r="A23" t="s">
        <v>617</v>
      </c>
      <c r="B23" s="20">
        <f>'S2 - Analysis, All'!B23</f>
        <v>2</v>
      </c>
      <c r="C23" s="20">
        <f>'S2 - Analysis, All'!C23</f>
        <v>1</v>
      </c>
      <c r="D23" s="20">
        <f>B23+C23</f>
        <v>3</v>
      </c>
      <c r="F23" t="s">
        <v>617</v>
      </c>
      <c r="G23" s="22">
        <f t="shared" si="3"/>
        <v>8.3333333333333329E-2</v>
      </c>
      <c r="H23" s="22">
        <f t="shared" si="3"/>
        <v>4.3478260869565216E-2</v>
      </c>
      <c r="I23" s="22">
        <f>G23-H23</f>
        <v>3.9855072463768113E-2</v>
      </c>
      <c r="J23" s="51">
        <v>1</v>
      </c>
    </row>
    <row r="24" spans="1:21" x14ac:dyDescent="0.25">
      <c r="A24" t="s">
        <v>618</v>
      </c>
      <c r="B24" s="20">
        <f>'S2 - Analysis, All'!B24</f>
        <v>1</v>
      </c>
      <c r="C24" s="20">
        <f>'S2 - Analysis, All'!C24</f>
        <v>3</v>
      </c>
      <c r="D24" s="20">
        <f>B24+C24</f>
        <v>4</v>
      </c>
      <c r="F24" t="s">
        <v>618</v>
      </c>
      <c r="G24" s="22">
        <f t="shared" si="3"/>
        <v>4.1666666666666664E-2</v>
      </c>
      <c r="H24" s="22">
        <f t="shared" si="3"/>
        <v>0.13043478260869565</v>
      </c>
      <c r="I24" s="22">
        <f>G24-H24</f>
        <v>-8.8768115942028991E-2</v>
      </c>
      <c r="J24" s="51">
        <v>0.34751773000000002</v>
      </c>
    </row>
    <row r="25" spans="1:21" s="11" customFormat="1" x14ac:dyDescent="0.25">
      <c r="A25" s="98"/>
      <c r="B25" s="101"/>
      <c r="C25" s="101"/>
      <c r="D25" s="102"/>
      <c r="E25" s="98"/>
      <c r="F25" s="98"/>
      <c r="G25" s="103"/>
      <c r="H25" s="103"/>
      <c r="I25" s="103"/>
      <c r="J25" s="104"/>
      <c r="M25" s="25"/>
      <c r="N25" s="25"/>
      <c r="O25" s="25"/>
      <c r="R25" s="26"/>
      <c r="S25" s="26"/>
      <c r="T25" s="26"/>
      <c r="U25" s="53"/>
    </row>
    <row r="26" spans="1:21" x14ac:dyDescent="0.25">
      <c r="A26" s="15" t="s">
        <v>783</v>
      </c>
      <c r="B26" s="19"/>
      <c r="C26" s="19"/>
      <c r="D26" s="19"/>
      <c r="E26" s="15"/>
      <c r="F26" s="15" t="s">
        <v>783</v>
      </c>
      <c r="G26" s="21"/>
      <c r="H26" s="21"/>
      <c r="I26" s="21"/>
      <c r="J26" s="50"/>
      <c r="L26" s="15" t="s">
        <v>786</v>
      </c>
      <c r="M26" s="19"/>
      <c r="N26" s="19"/>
      <c r="O26" s="19"/>
      <c r="P26" s="15"/>
      <c r="Q26" s="15" t="s">
        <v>786</v>
      </c>
      <c r="R26" s="21"/>
      <c r="S26" s="21"/>
      <c r="T26" s="21"/>
      <c r="U26" s="50"/>
    </row>
    <row r="27" spans="1:21" x14ac:dyDescent="0.25">
      <c r="A27" t="s">
        <v>619</v>
      </c>
      <c r="B27" s="20">
        <f>'S2 - Analysis, All'!B27</f>
        <v>4</v>
      </c>
      <c r="C27" s="20">
        <f>'S2 - Analysis, All'!C27</f>
        <v>3</v>
      </c>
      <c r="D27" s="20">
        <f t="shared" ref="D27:D43" si="4">B27+C27</f>
        <v>7</v>
      </c>
      <c r="F27" t="s">
        <v>619</v>
      </c>
      <c r="G27" s="22">
        <f t="shared" ref="G27:G43" si="5">B27/B$7</f>
        <v>0.16666666666666666</v>
      </c>
      <c r="H27" s="22">
        <f t="shared" ref="H27:H43" si="6">C27/C$7</f>
        <v>0.13043478260869565</v>
      </c>
      <c r="I27" s="22">
        <f t="shared" ref="I27:I43" si="7">G27-H27</f>
        <v>3.6231884057971009E-2</v>
      </c>
      <c r="J27" s="51">
        <v>1</v>
      </c>
      <c r="L27" s="23" t="s">
        <v>620</v>
      </c>
      <c r="M27" s="20">
        <f>'S2 - Analysis, All'!M27</f>
        <v>9</v>
      </c>
      <c r="N27" s="20">
        <f>'S2 - Analysis, All'!N27</f>
        <v>13</v>
      </c>
      <c r="O27" s="20">
        <f>M27+N27</f>
        <v>22</v>
      </c>
      <c r="P27" s="23"/>
      <c r="Q27" s="23" t="s">
        <v>620</v>
      </c>
      <c r="R27" s="24">
        <f t="shared" ref="R27:S31" si="8">M27/B$7</f>
        <v>0.375</v>
      </c>
      <c r="S27" s="24">
        <f t="shared" si="8"/>
        <v>0.56521739130434778</v>
      </c>
      <c r="T27" s="24">
        <f>R27-S27</f>
        <v>-0.19021739130434778</v>
      </c>
      <c r="U27" s="51">
        <v>0.24764822</v>
      </c>
    </row>
    <row r="28" spans="1:21" x14ac:dyDescent="0.25">
      <c r="A28" t="s">
        <v>621</v>
      </c>
      <c r="B28" s="20">
        <f>'S2 - Analysis, All'!B28</f>
        <v>2</v>
      </c>
      <c r="C28" s="20">
        <f>'S2 - Analysis, All'!C28</f>
        <v>1</v>
      </c>
      <c r="D28" s="20">
        <f t="shared" si="4"/>
        <v>3</v>
      </c>
      <c r="F28" t="s">
        <v>621</v>
      </c>
      <c r="G28" s="22">
        <f t="shared" si="5"/>
        <v>8.3333333333333329E-2</v>
      </c>
      <c r="H28" s="22">
        <f t="shared" si="6"/>
        <v>4.3478260869565216E-2</v>
      </c>
      <c r="I28" s="22">
        <f t="shared" si="7"/>
        <v>3.9855072463768113E-2</v>
      </c>
      <c r="J28" s="51">
        <v>1</v>
      </c>
      <c r="L28" t="s">
        <v>622</v>
      </c>
      <c r="M28" s="20">
        <f>'S2 - Analysis, All'!M28</f>
        <v>5</v>
      </c>
      <c r="N28" s="20">
        <f>'S2 - Analysis, All'!N28</f>
        <v>6</v>
      </c>
      <c r="O28" s="20">
        <f>M28+N28</f>
        <v>11</v>
      </c>
      <c r="Q28" t="s">
        <v>622</v>
      </c>
      <c r="R28" s="24">
        <f t="shared" si="8"/>
        <v>0.20833333333333334</v>
      </c>
      <c r="S28" s="24">
        <f t="shared" si="8"/>
        <v>0.2608695652173913</v>
      </c>
      <c r="T28" s="24">
        <f>R28-S28</f>
        <v>-5.2536231884057955E-2</v>
      </c>
      <c r="U28" s="51">
        <v>0.7399675</v>
      </c>
    </row>
    <row r="29" spans="1:21" x14ac:dyDescent="0.25">
      <c r="A29" t="s">
        <v>623</v>
      </c>
      <c r="B29" s="20">
        <f>'S2 - Analysis, All'!B29</f>
        <v>8</v>
      </c>
      <c r="C29" s="20">
        <f>'S2 - Analysis, All'!C29</f>
        <v>4</v>
      </c>
      <c r="D29" s="20">
        <f t="shared" si="4"/>
        <v>12</v>
      </c>
      <c r="F29" t="s">
        <v>623</v>
      </c>
      <c r="G29" s="22">
        <f t="shared" si="5"/>
        <v>0.33333333333333331</v>
      </c>
      <c r="H29" s="22">
        <f t="shared" si="6"/>
        <v>0.17391304347826086</v>
      </c>
      <c r="I29" s="22">
        <f t="shared" si="7"/>
        <v>0.15942028985507245</v>
      </c>
      <c r="J29" s="51">
        <v>0.31765907799999998</v>
      </c>
      <c r="L29" t="s">
        <v>624</v>
      </c>
      <c r="M29" s="20">
        <f>'S2 - Analysis, All'!M29</f>
        <v>10</v>
      </c>
      <c r="N29" s="20">
        <f>'S2 - Analysis, All'!N29</f>
        <v>4</v>
      </c>
      <c r="O29" s="20">
        <f>M29+N29</f>
        <v>14</v>
      </c>
      <c r="Q29" t="s">
        <v>624</v>
      </c>
      <c r="R29" s="24">
        <f t="shared" si="8"/>
        <v>0.41666666666666669</v>
      </c>
      <c r="S29" s="24">
        <f t="shared" si="8"/>
        <v>0.17391304347826086</v>
      </c>
      <c r="T29" s="24">
        <f>R29-S29</f>
        <v>0.24275362318840582</v>
      </c>
      <c r="U29" s="51">
        <v>0.11071771</v>
      </c>
    </row>
    <row r="30" spans="1:21" x14ac:dyDescent="0.25">
      <c r="A30" t="s">
        <v>625</v>
      </c>
      <c r="B30" s="20">
        <f>'S2 - Analysis, All'!B30</f>
        <v>4</v>
      </c>
      <c r="C30" s="20">
        <f>'S2 - Analysis, All'!C30</f>
        <v>9</v>
      </c>
      <c r="D30" s="20">
        <f t="shared" si="4"/>
        <v>13</v>
      </c>
      <c r="F30" t="s">
        <v>625</v>
      </c>
      <c r="G30" s="22">
        <f t="shared" si="5"/>
        <v>0.16666666666666666</v>
      </c>
      <c r="H30" s="22">
        <f t="shared" si="6"/>
        <v>0.39130434782608697</v>
      </c>
      <c r="I30" s="22">
        <f t="shared" si="7"/>
        <v>-0.22463768115942032</v>
      </c>
      <c r="J30" s="51">
        <v>0.11071771</v>
      </c>
      <c r="L30" t="s">
        <v>626</v>
      </c>
      <c r="M30" s="20">
        <f>'S2 - Analysis, All'!M30</f>
        <v>8</v>
      </c>
      <c r="N30" s="20">
        <f>'S2 - Analysis, All'!N30</f>
        <v>7</v>
      </c>
      <c r="O30" s="20">
        <f>M30+N30</f>
        <v>15</v>
      </c>
      <c r="Q30" t="s">
        <v>626</v>
      </c>
      <c r="R30" s="24">
        <f t="shared" si="8"/>
        <v>0.33333333333333331</v>
      </c>
      <c r="S30" s="24">
        <f t="shared" si="8"/>
        <v>0.30434782608695654</v>
      </c>
      <c r="T30" s="24">
        <f>R30-S30</f>
        <v>2.8985507246376774E-2</v>
      </c>
      <c r="U30" s="51">
        <v>1</v>
      </c>
    </row>
    <row r="31" spans="1:21" x14ac:dyDescent="0.25">
      <c r="A31" t="s">
        <v>627</v>
      </c>
      <c r="B31" s="20">
        <f>'S2 - Analysis, All'!B31</f>
        <v>2</v>
      </c>
      <c r="C31" s="20">
        <f>'S2 - Analysis, All'!C31</f>
        <v>2</v>
      </c>
      <c r="D31" s="20">
        <f t="shared" si="4"/>
        <v>4</v>
      </c>
      <c r="F31" t="s">
        <v>627</v>
      </c>
      <c r="G31" s="22">
        <f t="shared" si="5"/>
        <v>8.3333333333333329E-2</v>
      </c>
      <c r="H31" s="22">
        <f t="shared" si="6"/>
        <v>8.6956521739130432E-2</v>
      </c>
      <c r="I31" s="22">
        <f t="shared" si="7"/>
        <v>-3.6231884057971037E-3</v>
      </c>
      <c r="J31" s="51">
        <v>1</v>
      </c>
      <c r="L31" t="s">
        <v>628</v>
      </c>
      <c r="M31" s="20">
        <f>'S2 - Analysis, All'!M31</f>
        <v>6</v>
      </c>
      <c r="N31" s="20">
        <f>'S2 - Analysis, All'!N31</f>
        <v>10</v>
      </c>
      <c r="O31" s="20">
        <f>M31+N31</f>
        <v>16</v>
      </c>
      <c r="Q31" t="s">
        <v>628</v>
      </c>
      <c r="R31" s="24">
        <f t="shared" si="8"/>
        <v>0.25</v>
      </c>
      <c r="S31" s="24">
        <f t="shared" si="8"/>
        <v>0.43478260869565216</v>
      </c>
      <c r="T31" s="24">
        <f>R31-S31</f>
        <v>-0.18478260869565216</v>
      </c>
      <c r="U31" s="51">
        <v>0.227018416</v>
      </c>
    </row>
    <row r="32" spans="1:21" x14ac:dyDescent="0.25">
      <c r="A32" t="s">
        <v>117</v>
      </c>
      <c r="B32" s="20">
        <f>'S2 - Analysis, All'!B32</f>
        <v>6</v>
      </c>
      <c r="C32" s="20">
        <f>'S2 - Analysis, All'!C32</f>
        <v>10</v>
      </c>
      <c r="D32" s="20">
        <f t="shared" si="4"/>
        <v>16</v>
      </c>
      <c r="F32" t="s">
        <v>117</v>
      </c>
      <c r="G32" s="22">
        <f t="shared" si="5"/>
        <v>0.25</v>
      </c>
      <c r="H32" s="22">
        <f t="shared" si="6"/>
        <v>0.43478260869565216</v>
      </c>
      <c r="I32" s="22">
        <f t="shared" si="7"/>
        <v>-0.18478260869565216</v>
      </c>
      <c r="J32" s="51">
        <v>0.227018416</v>
      </c>
    </row>
    <row r="33" spans="1:21" x14ac:dyDescent="0.25">
      <c r="A33" t="s">
        <v>629</v>
      </c>
      <c r="B33" s="20">
        <f>'S2 - Analysis, All'!B33</f>
        <v>0</v>
      </c>
      <c r="C33" s="20">
        <f>'S2 - Analysis, All'!C33</f>
        <v>2</v>
      </c>
      <c r="D33" s="20">
        <f t="shared" si="4"/>
        <v>2</v>
      </c>
      <c r="F33" t="s">
        <v>629</v>
      </c>
      <c r="G33" s="22">
        <f t="shared" si="5"/>
        <v>0</v>
      </c>
      <c r="H33" s="22">
        <f t="shared" si="6"/>
        <v>8.6956521739130432E-2</v>
      </c>
      <c r="I33" s="22">
        <f t="shared" si="7"/>
        <v>-8.6956521739130432E-2</v>
      </c>
      <c r="J33" s="51">
        <v>0.23404255299999999</v>
      </c>
    </row>
    <row r="34" spans="1:21" x14ac:dyDescent="0.25">
      <c r="A34" t="s">
        <v>502</v>
      </c>
      <c r="B34" s="20">
        <f>'S2 - Analysis, All'!B34</f>
        <v>5</v>
      </c>
      <c r="C34" s="20">
        <f>'S2 - Analysis, All'!C34</f>
        <v>6</v>
      </c>
      <c r="D34" s="20">
        <f t="shared" si="4"/>
        <v>11</v>
      </c>
      <c r="F34" t="s">
        <v>502</v>
      </c>
      <c r="G34" s="22">
        <f t="shared" si="5"/>
        <v>0.20833333333333334</v>
      </c>
      <c r="H34" s="22">
        <f t="shared" si="6"/>
        <v>0.2608695652173913</v>
      </c>
      <c r="I34" s="22">
        <f t="shared" si="7"/>
        <v>-5.2536231884057955E-2</v>
      </c>
      <c r="J34" s="51">
        <v>0.7399675</v>
      </c>
      <c r="L34" s="97"/>
    </row>
    <row r="35" spans="1:21" x14ac:dyDescent="0.25">
      <c r="A35" t="s">
        <v>568</v>
      </c>
      <c r="B35" s="20">
        <f>'S2 - Analysis, All'!B35</f>
        <v>0</v>
      </c>
      <c r="C35" s="20">
        <f>'S2 - Analysis, All'!C35</f>
        <v>2</v>
      </c>
      <c r="D35" s="20">
        <f t="shared" si="4"/>
        <v>2</v>
      </c>
      <c r="F35" t="s">
        <v>568</v>
      </c>
      <c r="G35" s="22">
        <f t="shared" si="5"/>
        <v>0</v>
      </c>
      <c r="H35" s="22">
        <f t="shared" si="6"/>
        <v>8.6956521739130432E-2</v>
      </c>
      <c r="I35" s="22">
        <f t="shared" si="7"/>
        <v>-8.6956521739130432E-2</v>
      </c>
      <c r="J35" s="51">
        <v>0.23404255299999999</v>
      </c>
    </row>
    <row r="36" spans="1:21" x14ac:dyDescent="0.25">
      <c r="A36" t="s">
        <v>632</v>
      </c>
      <c r="B36" s="20">
        <f>'S2 - Analysis, All'!B36</f>
        <v>0</v>
      </c>
      <c r="C36" s="20">
        <f>'S2 - Analysis, All'!C36</f>
        <v>1</v>
      </c>
      <c r="D36" s="20">
        <f t="shared" si="4"/>
        <v>1</v>
      </c>
      <c r="F36" t="s">
        <v>632</v>
      </c>
      <c r="G36" s="22">
        <f t="shared" si="5"/>
        <v>0</v>
      </c>
      <c r="H36" s="22">
        <f t="shared" si="6"/>
        <v>4.3478260869565216E-2</v>
      </c>
      <c r="I36" s="22">
        <f t="shared" si="7"/>
        <v>-4.3478260869565216E-2</v>
      </c>
      <c r="J36" s="51">
        <v>0.48936170200000001</v>
      </c>
      <c r="L36" s="11"/>
      <c r="M36" s="25"/>
      <c r="N36" s="25"/>
      <c r="O36" s="25"/>
      <c r="Q36" s="11"/>
      <c r="R36" s="25"/>
      <c r="S36" s="25"/>
      <c r="T36" s="25"/>
    </row>
    <row r="37" spans="1:21" x14ac:dyDescent="0.25">
      <c r="A37" t="s">
        <v>557</v>
      </c>
      <c r="B37" s="20">
        <f>'S2 - Analysis, All'!B37</f>
        <v>1</v>
      </c>
      <c r="C37" s="20">
        <f>'S2 - Analysis, All'!C37</f>
        <v>1</v>
      </c>
      <c r="D37" s="20">
        <f t="shared" si="4"/>
        <v>2</v>
      </c>
      <c r="F37" t="s">
        <v>557</v>
      </c>
      <c r="G37" s="22">
        <f t="shared" si="5"/>
        <v>4.1666666666666664E-2</v>
      </c>
      <c r="H37" s="22">
        <f t="shared" si="6"/>
        <v>4.3478260869565216E-2</v>
      </c>
      <c r="I37" s="22">
        <f t="shared" si="7"/>
        <v>-1.8115942028985518E-3</v>
      </c>
      <c r="J37" s="51">
        <v>1</v>
      </c>
      <c r="R37" s="20"/>
      <c r="S37" s="20"/>
      <c r="T37" s="20"/>
    </row>
    <row r="38" spans="1:21" x14ac:dyDescent="0.25">
      <c r="A38" t="s">
        <v>634</v>
      </c>
      <c r="B38" s="20">
        <f>'S2 - Analysis, All'!B38</f>
        <v>2</v>
      </c>
      <c r="C38" s="20">
        <f>'S2 - Analysis, All'!C38</f>
        <v>1</v>
      </c>
      <c r="D38" s="20">
        <f t="shared" si="4"/>
        <v>3</v>
      </c>
      <c r="F38" t="s">
        <v>634</v>
      </c>
      <c r="G38" s="22">
        <f t="shared" si="5"/>
        <v>8.3333333333333329E-2</v>
      </c>
      <c r="H38" s="22">
        <f t="shared" si="6"/>
        <v>4.3478260869565216E-2</v>
      </c>
      <c r="I38" s="22">
        <f t="shared" si="7"/>
        <v>3.9855072463768113E-2</v>
      </c>
      <c r="J38" s="51">
        <v>1</v>
      </c>
      <c r="R38" s="20"/>
      <c r="S38" s="20"/>
      <c r="T38" s="20"/>
    </row>
    <row r="39" spans="1:21" x14ac:dyDescent="0.25">
      <c r="A39" t="s">
        <v>633</v>
      </c>
      <c r="B39" s="20">
        <f>'S2 - Analysis, All'!B39</f>
        <v>6</v>
      </c>
      <c r="C39" s="20">
        <f>'S2 - Analysis, All'!C39</f>
        <v>1</v>
      </c>
      <c r="D39" s="20">
        <f t="shared" si="4"/>
        <v>7</v>
      </c>
      <c r="F39" t="s">
        <v>633</v>
      </c>
      <c r="G39" s="22">
        <f t="shared" si="5"/>
        <v>0.25</v>
      </c>
      <c r="H39" s="22">
        <f t="shared" si="6"/>
        <v>4.3478260869565216E-2</v>
      </c>
      <c r="I39" s="22">
        <f t="shared" si="7"/>
        <v>0.20652173913043478</v>
      </c>
      <c r="J39" s="51">
        <v>9.7146626999999999E-2</v>
      </c>
      <c r="R39" s="20"/>
      <c r="S39" s="20"/>
      <c r="T39" s="20"/>
    </row>
    <row r="40" spans="1:21" x14ac:dyDescent="0.25">
      <c r="A40" t="s">
        <v>635</v>
      </c>
      <c r="B40" s="20">
        <f>'S2 - Analysis, All'!B40</f>
        <v>1</v>
      </c>
      <c r="C40" s="20">
        <f>'S2 - Analysis, All'!C40</f>
        <v>0</v>
      </c>
      <c r="D40" s="20">
        <f t="shared" si="4"/>
        <v>1</v>
      </c>
      <c r="F40" t="s">
        <v>635</v>
      </c>
      <c r="G40" s="22">
        <f t="shared" si="5"/>
        <v>4.1666666666666664E-2</v>
      </c>
      <c r="H40" s="22">
        <f t="shared" si="6"/>
        <v>0</v>
      </c>
      <c r="I40" s="22">
        <f t="shared" si="7"/>
        <v>4.1666666666666664E-2</v>
      </c>
      <c r="J40" s="51">
        <v>1</v>
      </c>
      <c r="R40" s="20"/>
      <c r="S40" s="20"/>
      <c r="T40" s="20"/>
    </row>
    <row r="41" spans="1:21" x14ac:dyDescent="0.25">
      <c r="A41" t="s">
        <v>636</v>
      </c>
      <c r="B41" s="20">
        <f>'S2 - Analysis, All'!B41</f>
        <v>0</v>
      </c>
      <c r="C41" s="20">
        <f>'S2 - Analysis, All'!C41</f>
        <v>2</v>
      </c>
      <c r="D41" s="20">
        <f t="shared" si="4"/>
        <v>2</v>
      </c>
      <c r="F41" t="s">
        <v>636</v>
      </c>
      <c r="G41" s="22">
        <f t="shared" si="5"/>
        <v>0</v>
      </c>
      <c r="H41" s="22">
        <f t="shared" si="6"/>
        <v>8.6956521739130432E-2</v>
      </c>
      <c r="I41" s="22">
        <f t="shared" si="7"/>
        <v>-8.6956521739130432E-2</v>
      </c>
      <c r="J41" s="51">
        <v>0.23404255299999999</v>
      </c>
      <c r="R41" s="20"/>
      <c r="S41" s="20"/>
      <c r="T41" s="20"/>
    </row>
    <row r="42" spans="1:21" x14ac:dyDescent="0.25">
      <c r="A42" t="s">
        <v>523</v>
      </c>
      <c r="B42" s="20">
        <f>'S2 - Analysis, All'!B42</f>
        <v>1</v>
      </c>
      <c r="C42" s="20">
        <f>'S2 - Analysis, All'!C42</f>
        <v>0</v>
      </c>
      <c r="D42" s="20">
        <f t="shared" si="4"/>
        <v>1</v>
      </c>
      <c r="F42" t="s">
        <v>523</v>
      </c>
      <c r="G42" s="22">
        <f t="shared" si="5"/>
        <v>4.1666666666666664E-2</v>
      </c>
      <c r="H42" s="22">
        <f t="shared" si="6"/>
        <v>0</v>
      </c>
      <c r="I42" s="22">
        <f t="shared" si="7"/>
        <v>4.1666666666666664E-2</v>
      </c>
      <c r="J42" s="51">
        <v>1</v>
      </c>
      <c r="R42" s="20"/>
      <c r="S42" s="20"/>
      <c r="T42" s="20"/>
    </row>
    <row r="43" spans="1:21" x14ac:dyDescent="0.25">
      <c r="A43" t="s">
        <v>638</v>
      </c>
      <c r="B43" s="20">
        <f>'S2 - Analysis, All'!B43</f>
        <v>1</v>
      </c>
      <c r="C43" s="20">
        <f>'S2 - Analysis, All'!C43</f>
        <v>0</v>
      </c>
      <c r="D43" s="20">
        <f t="shared" si="4"/>
        <v>1</v>
      </c>
      <c r="F43" t="s">
        <v>638</v>
      </c>
      <c r="G43" s="22">
        <f t="shared" si="5"/>
        <v>4.1666666666666664E-2</v>
      </c>
      <c r="H43" s="22">
        <f t="shared" si="6"/>
        <v>0</v>
      </c>
      <c r="I43" s="22">
        <f t="shared" si="7"/>
        <v>4.1666666666666664E-2</v>
      </c>
      <c r="J43" s="51">
        <v>1</v>
      </c>
    </row>
    <row r="44" spans="1:21" x14ac:dyDescent="0.25">
      <c r="A44" s="15" t="s">
        <v>781</v>
      </c>
      <c r="B44" s="19"/>
      <c r="C44" s="19"/>
      <c r="D44" s="19"/>
      <c r="E44" s="15"/>
      <c r="F44" s="15" t="s">
        <v>781</v>
      </c>
      <c r="G44" s="21"/>
      <c r="H44" s="21"/>
      <c r="I44" s="21"/>
      <c r="J44" s="50"/>
      <c r="L44" s="15" t="s">
        <v>785</v>
      </c>
      <c r="M44" s="19"/>
      <c r="N44" s="19"/>
      <c r="O44" s="19"/>
      <c r="P44" s="19"/>
      <c r="Q44" s="15" t="s">
        <v>785</v>
      </c>
      <c r="R44" s="21"/>
      <c r="S44" s="21"/>
      <c r="T44" s="21"/>
      <c r="U44" s="50"/>
    </row>
    <row r="45" spans="1:21" x14ac:dyDescent="0.25">
      <c r="A45" t="s">
        <v>614</v>
      </c>
      <c r="B45" s="20">
        <f>'S2 - Analysis, All'!B45</f>
        <v>17</v>
      </c>
      <c r="C45" s="20">
        <f>'S2 - Analysis, All'!C45</f>
        <v>13</v>
      </c>
      <c r="D45" s="20">
        <f>B45+C45</f>
        <v>30</v>
      </c>
      <c r="F45" t="s">
        <v>614</v>
      </c>
      <c r="G45" s="22">
        <f t="shared" ref="G45:H49" si="9">B45/B$7</f>
        <v>0.70833333333333337</v>
      </c>
      <c r="H45" s="22">
        <f t="shared" si="9"/>
        <v>0.56521739130434778</v>
      </c>
      <c r="I45" s="22">
        <f>G45-H45</f>
        <v>0.14311594202898559</v>
      </c>
      <c r="J45" s="51">
        <v>0.37146881199999998</v>
      </c>
      <c r="L45" t="s">
        <v>614</v>
      </c>
      <c r="M45" s="20">
        <f>'S2 - Analysis, All'!M45</f>
        <v>17</v>
      </c>
      <c r="N45" s="20">
        <f>'S2 - Analysis, All'!N45</f>
        <v>13</v>
      </c>
      <c r="O45" s="20">
        <f>M45+N45</f>
        <v>30</v>
      </c>
      <c r="Q45" t="s">
        <v>614</v>
      </c>
      <c r="R45" s="24">
        <f>M45/B$7</f>
        <v>0.70833333333333337</v>
      </c>
      <c r="S45" s="24">
        <f>N45/C$7</f>
        <v>0.56521739130434778</v>
      </c>
      <c r="T45" s="22">
        <f>R45-S45</f>
        <v>0.14311594202898559</v>
      </c>
      <c r="U45" s="51">
        <v>0.37146881199999998</v>
      </c>
    </row>
    <row r="46" spans="1:21" x14ac:dyDescent="0.25">
      <c r="A46" t="s">
        <v>615</v>
      </c>
      <c r="B46" s="20">
        <f>'S2 - Analysis, All'!B46</f>
        <v>1</v>
      </c>
      <c r="C46" s="20">
        <f>'S2 - Analysis, All'!C46</f>
        <v>2</v>
      </c>
      <c r="D46" s="20">
        <f>B46+C46</f>
        <v>3</v>
      </c>
      <c r="F46" t="s">
        <v>615</v>
      </c>
      <c r="G46" s="22">
        <f t="shared" si="9"/>
        <v>4.1666666666666664E-2</v>
      </c>
      <c r="H46" s="22">
        <f t="shared" si="9"/>
        <v>8.6956521739130432E-2</v>
      </c>
      <c r="I46" s="22">
        <f>G46-H46</f>
        <v>-4.5289855072463768E-2</v>
      </c>
      <c r="J46" s="51">
        <v>0.60851063800000005</v>
      </c>
      <c r="L46" t="s">
        <v>616</v>
      </c>
      <c r="M46" s="20">
        <f>'S2 - Analysis, All'!M46</f>
        <v>7</v>
      </c>
      <c r="N46" s="20">
        <f>'S2 - Analysis, All'!N46</f>
        <v>10</v>
      </c>
      <c r="O46" s="20">
        <f>M46+N46</f>
        <v>17</v>
      </c>
      <c r="Q46" t="s">
        <v>616</v>
      </c>
      <c r="R46" s="24">
        <f>M46/B$7</f>
        <v>0.29166666666666669</v>
      </c>
      <c r="S46" s="24">
        <f>N46/C$7</f>
        <v>0.43478260869565216</v>
      </c>
      <c r="T46" s="22">
        <f>R46-S46</f>
        <v>-0.14311594202898548</v>
      </c>
      <c r="U46" s="51">
        <v>0.37146881199999998</v>
      </c>
    </row>
    <row r="47" spans="1:21" x14ac:dyDescent="0.25">
      <c r="A47" t="s">
        <v>617</v>
      </c>
      <c r="B47" s="20">
        <f>'S2 - Analysis, All'!B47</f>
        <v>1</v>
      </c>
      <c r="C47" s="20">
        <f>'S2 - Analysis, All'!C47</f>
        <v>5</v>
      </c>
      <c r="D47" s="20">
        <f>B47+C47</f>
        <v>6</v>
      </c>
      <c r="F47" t="s">
        <v>617</v>
      </c>
      <c r="G47" s="22">
        <f t="shared" si="9"/>
        <v>4.1666666666666664E-2</v>
      </c>
      <c r="H47" s="22">
        <f t="shared" si="9"/>
        <v>0.21739130434782608</v>
      </c>
      <c r="I47" s="22">
        <f>G47-H47</f>
        <v>-0.17572463768115942</v>
      </c>
      <c r="J47" s="51">
        <v>9.7146626999999999E-2</v>
      </c>
    </row>
    <row r="48" spans="1:21" x14ac:dyDescent="0.25">
      <c r="A48" t="s">
        <v>618</v>
      </c>
      <c r="B48" s="20">
        <f>'S2 - Analysis, All'!B48</f>
        <v>4</v>
      </c>
      <c r="C48" s="20">
        <f>'S2 - Analysis, All'!C48</f>
        <v>2</v>
      </c>
      <c r="D48" s="20">
        <f>B48+C48</f>
        <v>6</v>
      </c>
      <c r="F48" t="s">
        <v>618</v>
      </c>
      <c r="G48" s="22">
        <f t="shared" si="9"/>
        <v>0.16666666666666666</v>
      </c>
      <c r="H48" s="22">
        <f t="shared" si="9"/>
        <v>8.6956521739130432E-2</v>
      </c>
      <c r="I48" s="22">
        <f>G48-H48</f>
        <v>7.9710144927536225E-2</v>
      </c>
      <c r="J48" s="51">
        <v>0.666171862</v>
      </c>
    </row>
    <row r="49" spans="1:21" x14ac:dyDescent="0.25">
      <c r="A49" t="s">
        <v>639</v>
      </c>
      <c r="B49" s="20">
        <f>'S2 - Analysis, All'!B49</f>
        <v>1</v>
      </c>
      <c r="C49" s="20">
        <f>'S2 - Analysis, All'!C49</f>
        <v>1</v>
      </c>
      <c r="D49" s="20">
        <f>B49+C49</f>
        <v>2</v>
      </c>
      <c r="F49" t="s">
        <v>639</v>
      </c>
      <c r="G49" s="22">
        <f t="shared" si="9"/>
        <v>4.1666666666666664E-2</v>
      </c>
      <c r="H49" s="22">
        <f t="shared" si="9"/>
        <v>4.3478260869565216E-2</v>
      </c>
      <c r="I49" s="22">
        <f>G49-H49</f>
        <v>-1.8115942028985518E-3</v>
      </c>
      <c r="J49" s="51">
        <v>1</v>
      </c>
    </row>
    <row r="51" spans="1:21" x14ac:dyDescent="0.25">
      <c r="A51" s="15" t="s">
        <v>640</v>
      </c>
      <c r="B51" s="19"/>
      <c r="C51" s="19"/>
      <c r="D51" s="19"/>
      <c r="E51" s="15"/>
      <c r="F51" s="15" t="s">
        <v>640</v>
      </c>
      <c r="G51" s="21"/>
      <c r="H51" s="21"/>
      <c r="I51" s="21"/>
      <c r="J51" s="50"/>
      <c r="L51" s="15" t="s">
        <v>641</v>
      </c>
      <c r="M51" s="19"/>
      <c r="N51" s="19"/>
      <c r="O51" s="19"/>
      <c r="P51" s="15"/>
      <c r="Q51" s="15" t="s">
        <v>641</v>
      </c>
      <c r="R51" s="21"/>
      <c r="S51" s="21"/>
      <c r="T51" s="21"/>
      <c r="U51" s="50"/>
    </row>
    <row r="52" spans="1:21" x14ac:dyDescent="0.25">
      <c r="A52" t="s">
        <v>584</v>
      </c>
      <c r="B52" s="20">
        <f>'S2 - Analysis, All'!B52</f>
        <v>2</v>
      </c>
      <c r="C52" s="20">
        <f>'S2 - Analysis, All'!C52</f>
        <v>4</v>
      </c>
      <c r="D52" s="20">
        <f t="shared" ref="D52:D67" si="10">B52+C52</f>
        <v>6</v>
      </c>
      <c r="F52" t="s">
        <v>584</v>
      </c>
      <c r="G52" s="22">
        <f t="shared" ref="G52:G67" si="11">B52/B$7</f>
        <v>8.3333333333333329E-2</v>
      </c>
      <c r="H52" s="22">
        <f t="shared" ref="H52:H67" si="12">C52/C$7</f>
        <v>0.17391304347826086</v>
      </c>
      <c r="I52" s="22">
        <f t="shared" ref="I52:I67" si="13">G52-H52</f>
        <v>-9.0579710144927536E-2</v>
      </c>
      <c r="J52" s="51">
        <v>0.41580075870031302</v>
      </c>
      <c r="L52" t="s">
        <v>642</v>
      </c>
      <c r="M52" s="20">
        <f>'S2 - Analysis, All'!M52</f>
        <v>15</v>
      </c>
      <c r="N52" s="20">
        <f>'S2 - Analysis, All'!N52</f>
        <v>14</v>
      </c>
      <c r="O52" s="20">
        <f>M52+N52</f>
        <v>29</v>
      </c>
      <c r="Q52" t="s">
        <v>642</v>
      </c>
      <c r="R52" s="22">
        <f t="shared" ref="R52:S54" si="14">M52/B$7</f>
        <v>0.625</v>
      </c>
      <c r="S52" s="22">
        <f t="shared" si="14"/>
        <v>0.60869565217391308</v>
      </c>
      <c r="T52" s="22">
        <f>R52-S52</f>
        <v>1.6304347826086918E-2</v>
      </c>
      <c r="U52" s="51">
        <v>1</v>
      </c>
    </row>
    <row r="53" spans="1:21" x14ac:dyDescent="0.25">
      <c r="A53" t="s">
        <v>643</v>
      </c>
      <c r="B53" s="20">
        <f>'S2 - Analysis, All'!B53</f>
        <v>1</v>
      </c>
      <c r="C53" s="20">
        <f>'S2 - Analysis, All'!C53</f>
        <v>0</v>
      </c>
      <c r="D53" s="20">
        <f t="shared" si="10"/>
        <v>1</v>
      </c>
      <c r="F53" t="s">
        <v>643</v>
      </c>
      <c r="G53" s="22">
        <f t="shared" si="11"/>
        <v>4.1666666666666664E-2</v>
      </c>
      <c r="H53" s="22">
        <f t="shared" si="12"/>
        <v>0</v>
      </c>
      <c r="I53" s="22">
        <f t="shared" si="13"/>
        <v>4.1666666666666664E-2</v>
      </c>
      <c r="J53" s="51">
        <v>1</v>
      </c>
      <c r="L53" t="s">
        <v>644</v>
      </c>
      <c r="M53" s="20">
        <f>'S2 - Analysis, All'!M53</f>
        <v>9</v>
      </c>
      <c r="N53" s="20">
        <f>'S2 - Analysis, All'!N53</f>
        <v>9</v>
      </c>
      <c r="O53" s="20">
        <f>M53+N53</f>
        <v>18</v>
      </c>
      <c r="Q53" t="s">
        <v>644</v>
      </c>
      <c r="R53" s="22">
        <f t="shared" si="14"/>
        <v>0.375</v>
      </c>
      <c r="S53" s="22">
        <f t="shared" si="14"/>
        <v>0.39130434782608697</v>
      </c>
      <c r="T53" s="22">
        <f>R53-S53</f>
        <v>-1.6304347826086973E-2</v>
      </c>
      <c r="U53" s="51">
        <v>1</v>
      </c>
    </row>
    <row r="54" spans="1:21" x14ac:dyDescent="0.25">
      <c r="A54" t="s">
        <v>645</v>
      </c>
      <c r="B54" s="20">
        <f>'S2 - Analysis, All'!B54</f>
        <v>0</v>
      </c>
      <c r="C54" s="20">
        <f>'S2 - Analysis, All'!C54</f>
        <v>2</v>
      </c>
      <c r="D54" s="20">
        <f t="shared" si="10"/>
        <v>2</v>
      </c>
      <c r="F54" t="s">
        <v>645</v>
      </c>
      <c r="G54" s="22">
        <f t="shared" si="11"/>
        <v>0</v>
      </c>
      <c r="H54" s="22">
        <f t="shared" si="12"/>
        <v>8.6956521739130432E-2</v>
      </c>
      <c r="I54" s="22">
        <f t="shared" si="13"/>
        <v>-8.6956521739130432E-2</v>
      </c>
      <c r="J54" s="51">
        <v>0.23404255319148901</v>
      </c>
      <c r="L54" t="s">
        <v>763</v>
      </c>
      <c r="M54" s="20">
        <f>'S2 - Analysis, All'!M54</f>
        <v>4</v>
      </c>
      <c r="N54" s="20">
        <f>'S2 - Analysis, All'!N54</f>
        <v>3</v>
      </c>
      <c r="O54" s="20">
        <f>M54+N54</f>
        <v>7</v>
      </c>
      <c r="Q54" t="s">
        <v>763</v>
      </c>
      <c r="R54" s="22">
        <f t="shared" si="14"/>
        <v>0.16666666666666666</v>
      </c>
      <c r="S54" s="22">
        <f t="shared" si="14"/>
        <v>0.13043478260869565</v>
      </c>
      <c r="T54" s="22">
        <f>R54-S54</f>
        <v>3.6231884057971009E-2</v>
      </c>
      <c r="U54" s="51">
        <v>1</v>
      </c>
    </row>
    <row r="55" spans="1:21" x14ac:dyDescent="0.25">
      <c r="A55" t="s">
        <v>646</v>
      </c>
      <c r="B55" s="20">
        <f>'S2 - Analysis, All'!B55</f>
        <v>1</v>
      </c>
      <c r="C55" s="20">
        <f>'S2 - Analysis, All'!C55</f>
        <v>1</v>
      </c>
      <c r="D55" s="20">
        <f t="shared" si="10"/>
        <v>2</v>
      </c>
      <c r="F55" t="s">
        <v>646</v>
      </c>
      <c r="G55" s="22">
        <f t="shared" si="11"/>
        <v>4.1666666666666664E-2</v>
      </c>
      <c r="H55" s="22">
        <f t="shared" si="12"/>
        <v>4.3478260869565216E-2</v>
      </c>
      <c r="I55" s="22">
        <f t="shared" si="13"/>
        <v>-1.8115942028985518E-3</v>
      </c>
      <c r="J55" s="51">
        <v>1</v>
      </c>
    </row>
    <row r="56" spans="1:21" x14ac:dyDescent="0.25">
      <c r="A56" t="s">
        <v>402</v>
      </c>
      <c r="B56" s="20">
        <f>'S2 - Analysis, All'!B56</f>
        <v>2</v>
      </c>
      <c r="C56" s="20">
        <f>'S2 - Analysis, All'!C56</f>
        <v>0</v>
      </c>
      <c r="D56" s="20">
        <f t="shared" si="10"/>
        <v>2</v>
      </c>
      <c r="F56" t="s">
        <v>402</v>
      </c>
      <c r="G56" s="22">
        <f t="shared" si="11"/>
        <v>8.3333333333333329E-2</v>
      </c>
      <c r="H56" s="22">
        <f t="shared" si="12"/>
        <v>0</v>
      </c>
      <c r="I56" s="22">
        <f t="shared" si="13"/>
        <v>8.3333333333333329E-2</v>
      </c>
      <c r="J56" s="51">
        <v>0.489361702127659</v>
      </c>
    </row>
    <row r="57" spans="1:21" x14ac:dyDescent="0.25">
      <c r="A57" t="s">
        <v>647</v>
      </c>
      <c r="B57" s="20">
        <f>'S2 - Analysis, All'!B57</f>
        <v>3</v>
      </c>
      <c r="C57" s="20">
        <f>'S2 - Analysis, All'!C57</f>
        <v>0</v>
      </c>
      <c r="D57" s="20">
        <f t="shared" si="10"/>
        <v>3</v>
      </c>
      <c r="F57" t="s">
        <v>647</v>
      </c>
      <c r="G57" s="22">
        <f t="shared" si="11"/>
        <v>0.125</v>
      </c>
      <c r="H57" s="22">
        <f t="shared" si="12"/>
        <v>0</v>
      </c>
      <c r="I57" s="22">
        <f t="shared" si="13"/>
        <v>0.125</v>
      </c>
      <c r="J57" s="51">
        <v>0.23404255319148901</v>
      </c>
    </row>
    <row r="58" spans="1:21" x14ac:dyDescent="0.25">
      <c r="A58" t="s">
        <v>100</v>
      </c>
      <c r="B58" s="20">
        <f>'S2 - Analysis, All'!B58</f>
        <v>2</v>
      </c>
      <c r="C58" s="20">
        <f>'S2 - Analysis, All'!C58</f>
        <v>1</v>
      </c>
      <c r="D58" s="20">
        <f t="shared" si="10"/>
        <v>3</v>
      </c>
      <c r="F58" t="s">
        <v>100</v>
      </c>
      <c r="G58" s="22">
        <f t="shared" si="11"/>
        <v>8.3333333333333329E-2</v>
      </c>
      <c r="H58" s="22">
        <f t="shared" si="12"/>
        <v>4.3478260869565216E-2</v>
      </c>
      <c r="I58" s="22">
        <f t="shared" si="13"/>
        <v>3.9855072463768113E-2</v>
      </c>
      <c r="J58" s="51">
        <v>1</v>
      </c>
    </row>
    <row r="59" spans="1:21" x14ac:dyDescent="0.25">
      <c r="A59" t="s">
        <v>648</v>
      </c>
      <c r="B59" s="20">
        <f>'S2 - Analysis, All'!B59</f>
        <v>1</v>
      </c>
      <c r="C59" s="20">
        <f>'S2 - Analysis, All'!C59</f>
        <v>1</v>
      </c>
      <c r="D59" s="20">
        <f t="shared" si="10"/>
        <v>2</v>
      </c>
      <c r="F59" t="s">
        <v>648</v>
      </c>
      <c r="G59" s="22">
        <f t="shared" si="11"/>
        <v>4.1666666666666664E-2</v>
      </c>
      <c r="H59" s="22">
        <f t="shared" si="12"/>
        <v>4.3478260869565216E-2</v>
      </c>
      <c r="I59" s="22">
        <f t="shared" si="13"/>
        <v>-1.8115942028985518E-3</v>
      </c>
      <c r="J59" s="51">
        <v>1</v>
      </c>
    </row>
    <row r="60" spans="1:21" x14ac:dyDescent="0.25">
      <c r="A60" t="s">
        <v>649</v>
      </c>
      <c r="B60" s="20">
        <f>'S2 - Analysis, All'!B60</f>
        <v>1</v>
      </c>
      <c r="C60" s="20">
        <f>'S2 - Analysis, All'!C60</f>
        <v>0</v>
      </c>
      <c r="D60" s="20">
        <f t="shared" si="10"/>
        <v>1</v>
      </c>
      <c r="F60" t="s">
        <v>649</v>
      </c>
      <c r="G60" s="22">
        <f t="shared" si="11"/>
        <v>4.1666666666666664E-2</v>
      </c>
      <c r="H60" s="22">
        <f t="shared" si="12"/>
        <v>0</v>
      </c>
      <c r="I60" s="22">
        <f t="shared" si="13"/>
        <v>4.1666666666666664E-2</v>
      </c>
      <c r="J60" s="51">
        <v>1</v>
      </c>
    </row>
    <row r="61" spans="1:21" x14ac:dyDescent="0.25">
      <c r="A61" t="s">
        <v>285</v>
      </c>
      <c r="B61" s="20">
        <f>'S2 - Analysis, All'!B61</f>
        <v>0</v>
      </c>
      <c r="C61" s="20">
        <f>'S2 - Analysis, All'!C61</f>
        <v>0</v>
      </c>
      <c r="D61" s="20">
        <f t="shared" si="10"/>
        <v>0</v>
      </c>
      <c r="F61" t="s">
        <v>285</v>
      </c>
      <c r="G61" s="22">
        <f t="shared" si="11"/>
        <v>0</v>
      </c>
      <c r="H61" s="22">
        <f t="shared" si="12"/>
        <v>0</v>
      </c>
      <c r="I61" s="22">
        <f t="shared" si="13"/>
        <v>0</v>
      </c>
      <c r="J61" s="51">
        <v>1</v>
      </c>
    </row>
    <row r="62" spans="1:21" x14ac:dyDescent="0.25">
      <c r="A62" t="s">
        <v>650</v>
      </c>
      <c r="B62" s="20">
        <f>'S2 - Analysis, All'!B62</f>
        <v>0</v>
      </c>
      <c r="C62" s="20">
        <f>'S2 - Analysis, All'!C62</f>
        <v>1</v>
      </c>
      <c r="D62" s="20">
        <f t="shared" si="10"/>
        <v>1</v>
      </c>
      <c r="F62" t="s">
        <v>650</v>
      </c>
      <c r="G62" s="22">
        <f t="shared" si="11"/>
        <v>0</v>
      </c>
      <c r="H62" s="22">
        <f t="shared" si="12"/>
        <v>4.3478260869565216E-2</v>
      </c>
      <c r="I62" s="22">
        <f t="shared" si="13"/>
        <v>-4.3478260869565216E-2</v>
      </c>
      <c r="J62" s="51">
        <v>0.489361702127659</v>
      </c>
    </row>
    <row r="63" spans="1:21" x14ac:dyDescent="0.25">
      <c r="A63" t="s">
        <v>651</v>
      </c>
      <c r="B63" s="20">
        <f>'S2 - Analysis, All'!B63</f>
        <v>0</v>
      </c>
      <c r="C63" s="20">
        <f>'S2 - Analysis, All'!C63</f>
        <v>1</v>
      </c>
      <c r="D63" s="20">
        <f t="shared" si="10"/>
        <v>1</v>
      </c>
      <c r="F63" t="s">
        <v>651</v>
      </c>
      <c r="G63" s="22">
        <f t="shared" si="11"/>
        <v>0</v>
      </c>
      <c r="H63" s="22">
        <f t="shared" si="12"/>
        <v>4.3478260869565216E-2</v>
      </c>
      <c r="I63" s="22">
        <f t="shared" si="13"/>
        <v>-4.3478260869565216E-2</v>
      </c>
      <c r="J63" s="51">
        <v>0.489361702127659</v>
      </c>
    </row>
    <row r="64" spans="1:21" x14ac:dyDescent="0.25">
      <c r="A64" t="s">
        <v>175</v>
      </c>
      <c r="B64" s="20">
        <f>'S2 - Analysis, All'!B64</f>
        <v>0</v>
      </c>
      <c r="C64" s="20">
        <f>'S2 - Analysis, All'!C64</f>
        <v>1</v>
      </c>
      <c r="D64" s="20">
        <f t="shared" si="10"/>
        <v>1</v>
      </c>
      <c r="F64" t="s">
        <v>175</v>
      </c>
      <c r="G64" s="22">
        <f t="shared" si="11"/>
        <v>0</v>
      </c>
      <c r="H64" s="22">
        <f t="shared" si="12"/>
        <v>4.3478260869565216E-2</v>
      </c>
      <c r="I64" s="22">
        <f t="shared" si="13"/>
        <v>-4.3478260869565216E-2</v>
      </c>
      <c r="J64" s="51">
        <v>0.489361702127659</v>
      </c>
    </row>
    <row r="65" spans="1:10" x14ac:dyDescent="0.25">
      <c r="A65" t="s">
        <v>652</v>
      </c>
      <c r="B65" s="20">
        <f>'S2 - Analysis, All'!B65</f>
        <v>1</v>
      </c>
      <c r="C65" s="20">
        <f>'S2 - Analysis, All'!C65</f>
        <v>0</v>
      </c>
      <c r="D65" s="20">
        <f t="shared" si="10"/>
        <v>1</v>
      </c>
      <c r="F65" t="s">
        <v>652</v>
      </c>
      <c r="G65" s="22">
        <f t="shared" si="11"/>
        <v>4.1666666666666664E-2</v>
      </c>
      <c r="H65" s="22">
        <f t="shared" si="12"/>
        <v>0</v>
      </c>
      <c r="I65" s="22">
        <f t="shared" si="13"/>
        <v>4.1666666666666664E-2</v>
      </c>
      <c r="J65" s="51">
        <v>1</v>
      </c>
    </row>
    <row r="66" spans="1:10" x14ac:dyDescent="0.25">
      <c r="A66" t="s">
        <v>653</v>
      </c>
      <c r="B66" s="20">
        <f>'S2 - Analysis, All'!B66</f>
        <v>0</v>
      </c>
      <c r="C66" s="20">
        <f>'S2 - Analysis, All'!C66</f>
        <v>1</v>
      </c>
      <c r="D66" s="20">
        <f t="shared" si="10"/>
        <v>1</v>
      </c>
      <c r="F66" t="s">
        <v>653</v>
      </c>
      <c r="G66" s="22">
        <f t="shared" si="11"/>
        <v>0</v>
      </c>
      <c r="H66" s="22">
        <f t="shared" si="12"/>
        <v>4.3478260869565216E-2</v>
      </c>
      <c r="I66" s="22">
        <f t="shared" si="13"/>
        <v>-4.3478260869565216E-2</v>
      </c>
      <c r="J66" s="51">
        <v>0.489361702127659</v>
      </c>
    </row>
    <row r="67" spans="1:10" x14ac:dyDescent="0.25">
      <c r="A67" t="s">
        <v>654</v>
      </c>
      <c r="B67" s="20">
        <f>'S2 - Analysis, All'!B67</f>
        <v>0</v>
      </c>
      <c r="C67" s="20">
        <f>'S2 - Analysis, All'!C67</f>
        <v>1</v>
      </c>
      <c r="D67" s="20">
        <f t="shared" si="10"/>
        <v>1</v>
      </c>
      <c r="F67" t="s">
        <v>654</v>
      </c>
      <c r="G67" s="22">
        <f t="shared" si="11"/>
        <v>0</v>
      </c>
      <c r="H67" s="22">
        <f t="shared" si="12"/>
        <v>4.3478260869565216E-2</v>
      </c>
      <c r="I67" s="22">
        <f t="shared" si="13"/>
        <v>-4.3478260869565216E-2</v>
      </c>
      <c r="J67" s="51">
        <v>0.489361702127659</v>
      </c>
    </row>
    <row r="69" spans="1:10" x14ac:dyDescent="0.25">
      <c r="A69" s="15" t="s">
        <v>702</v>
      </c>
      <c r="B69" s="33"/>
      <c r="C69" s="33"/>
      <c r="D69" s="33"/>
      <c r="E69" s="33"/>
      <c r="F69" s="15" t="s">
        <v>702</v>
      </c>
      <c r="G69" s="33"/>
      <c r="H69" s="33"/>
      <c r="I69" s="33"/>
      <c r="J69" s="33"/>
    </row>
    <row r="70" spans="1:10" x14ac:dyDescent="0.25">
      <c r="A70" t="s">
        <v>656</v>
      </c>
      <c r="B70" s="20">
        <f>'S2 - Analysis, All'!B70</f>
        <v>18</v>
      </c>
      <c r="C70" s="20">
        <f>'S2 - Analysis, All'!C70</f>
        <v>9</v>
      </c>
      <c r="D70" s="20">
        <f>B70+C70</f>
        <v>27</v>
      </c>
      <c r="F70" t="s">
        <v>656</v>
      </c>
      <c r="G70" s="22">
        <f t="shared" ref="G70:G80" si="15">B70/B$7</f>
        <v>0.75</v>
      </c>
      <c r="H70" s="22">
        <f t="shared" ref="H70:H80" si="16">C70/C$7</f>
        <v>0.39130434782608697</v>
      </c>
      <c r="I70" s="22">
        <f t="shared" ref="I70:I80" si="17">G70-H70</f>
        <v>0.35869565217391303</v>
      </c>
      <c r="J70" s="51">
        <v>1.8930278268084799E-2</v>
      </c>
    </row>
    <row r="71" spans="1:10" x14ac:dyDescent="0.25">
      <c r="A71" t="s">
        <v>657</v>
      </c>
      <c r="B71" s="20">
        <f>'S2 - Analysis, All'!B71</f>
        <v>7</v>
      </c>
      <c r="C71" s="20">
        <f>'S2 - Analysis, All'!C71</f>
        <v>9</v>
      </c>
      <c r="D71" s="20">
        <f t="shared" ref="D71:D86" si="18">B71+C71</f>
        <v>16</v>
      </c>
      <c r="F71" t="s">
        <v>657</v>
      </c>
      <c r="G71" s="22">
        <f t="shared" si="15"/>
        <v>0.29166666666666669</v>
      </c>
      <c r="H71" s="22">
        <f t="shared" si="16"/>
        <v>0.39130434782608697</v>
      </c>
      <c r="I71" s="22">
        <f t="shared" si="17"/>
        <v>-9.9637681159420288E-2</v>
      </c>
      <c r="J71" s="51">
        <v>0.54687286458565998</v>
      </c>
    </row>
    <row r="72" spans="1:10" x14ac:dyDescent="0.25">
      <c r="A72" t="s">
        <v>53</v>
      </c>
      <c r="B72" s="20">
        <f>'S2 - Analysis, All'!B72</f>
        <v>11</v>
      </c>
      <c r="C72" s="20">
        <f>'S2 - Analysis, All'!C72</f>
        <v>3</v>
      </c>
      <c r="D72" s="20">
        <f t="shared" si="18"/>
        <v>14</v>
      </c>
      <c r="F72" t="s">
        <v>53</v>
      </c>
      <c r="G72" s="22">
        <f t="shared" si="15"/>
        <v>0.45833333333333331</v>
      </c>
      <c r="H72" s="22">
        <f t="shared" si="16"/>
        <v>0.13043478260869565</v>
      </c>
      <c r="I72" s="22">
        <f t="shared" si="17"/>
        <v>0.32789855072463769</v>
      </c>
      <c r="J72" s="51">
        <v>2.43008942252253E-2</v>
      </c>
    </row>
    <row r="73" spans="1:10" x14ac:dyDescent="0.25">
      <c r="A73" t="s">
        <v>658</v>
      </c>
      <c r="B73" s="20">
        <f>'S2 - Analysis, All'!B73</f>
        <v>6</v>
      </c>
      <c r="C73" s="20">
        <f>'S2 - Analysis, All'!C73</f>
        <v>7</v>
      </c>
      <c r="D73" s="20">
        <f t="shared" si="18"/>
        <v>13</v>
      </c>
      <c r="F73" t="s">
        <v>658</v>
      </c>
      <c r="G73" s="22">
        <f t="shared" si="15"/>
        <v>0.25</v>
      </c>
      <c r="H73" s="22">
        <f t="shared" si="16"/>
        <v>0.30434782608695654</v>
      </c>
      <c r="I73" s="22">
        <f t="shared" si="17"/>
        <v>-5.4347826086956541E-2</v>
      </c>
      <c r="J73" s="51">
        <v>0.75164242820196703</v>
      </c>
    </row>
    <row r="74" spans="1:10" x14ac:dyDescent="0.25">
      <c r="A74" t="s">
        <v>659</v>
      </c>
      <c r="B74" s="20">
        <f>'S2 - Analysis, All'!B74</f>
        <v>4</v>
      </c>
      <c r="C74" s="20">
        <f>'S2 - Analysis, All'!C74</f>
        <v>3</v>
      </c>
      <c r="D74" s="20">
        <f t="shared" si="18"/>
        <v>7</v>
      </c>
      <c r="F74" t="s">
        <v>659</v>
      </c>
      <c r="G74" s="22">
        <f t="shared" si="15"/>
        <v>0.16666666666666666</v>
      </c>
      <c r="H74" s="22">
        <f t="shared" si="16"/>
        <v>0.13043478260869565</v>
      </c>
      <c r="I74" s="22">
        <f t="shared" si="17"/>
        <v>3.6231884057971009E-2</v>
      </c>
      <c r="J74" s="51">
        <v>1</v>
      </c>
    </row>
    <row r="75" spans="1:10" x14ac:dyDescent="0.25">
      <c r="A75" t="s">
        <v>660</v>
      </c>
      <c r="B75" s="20">
        <f>'S2 - Analysis, All'!B75</f>
        <v>3</v>
      </c>
      <c r="C75" s="20">
        <f>'S2 - Analysis, All'!C75</f>
        <v>4</v>
      </c>
      <c r="D75" s="20">
        <f t="shared" si="18"/>
        <v>7</v>
      </c>
      <c r="F75" t="s">
        <v>660</v>
      </c>
      <c r="G75" s="22">
        <f t="shared" si="15"/>
        <v>0.125</v>
      </c>
      <c r="H75" s="22">
        <f t="shared" si="16"/>
        <v>0.17391304347826086</v>
      </c>
      <c r="I75" s="22">
        <f t="shared" si="17"/>
        <v>-4.8913043478260865E-2</v>
      </c>
      <c r="J75" s="51">
        <v>0.70077599835869697</v>
      </c>
    </row>
    <row r="76" spans="1:10" x14ac:dyDescent="0.25">
      <c r="A76" t="s">
        <v>661</v>
      </c>
      <c r="B76" s="20">
        <f>'S2 - Analysis, All'!B76</f>
        <v>2</v>
      </c>
      <c r="C76" s="20">
        <f>'S2 - Analysis, All'!C76</f>
        <v>3</v>
      </c>
      <c r="D76" s="20">
        <f t="shared" si="18"/>
        <v>5</v>
      </c>
      <c r="F76" t="s">
        <v>661</v>
      </c>
      <c r="G76" s="22">
        <f t="shared" si="15"/>
        <v>8.3333333333333329E-2</v>
      </c>
      <c r="H76" s="22">
        <f t="shared" si="16"/>
        <v>0.13043478260869565</v>
      </c>
      <c r="I76" s="22">
        <f t="shared" si="17"/>
        <v>-4.710144927536232E-2</v>
      </c>
      <c r="J76" s="51">
        <v>0.666171862114464</v>
      </c>
    </row>
    <row r="77" spans="1:10" x14ac:dyDescent="0.25">
      <c r="A77" t="s">
        <v>662</v>
      </c>
      <c r="B77" s="20">
        <f>'S2 - Analysis, All'!B77</f>
        <v>3</v>
      </c>
      <c r="C77" s="20">
        <f>'S2 - Analysis, All'!C77</f>
        <v>1</v>
      </c>
      <c r="D77" s="20">
        <f t="shared" si="18"/>
        <v>4</v>
      </c>
      <c r="F77" t="s">
        <v>662</v>
      </c>
      <c r="G77" s="22">
        <f t="shared" si="15"/>
        <v>0.125</v>
      </c>
      <c r="H77" s="22">
        <f t="shared" si="16"/>
        <v>4.3478260869565216E-2</v>
      </c>
      <c r="I77" s="22">
        <f t="shared" si="17"/>
        <v>8.1521739130434784E-2</v>
      </c>
      <c r="J77" s="51">
        <v>0.608510638297872</v>
      </c>
    </row>
    <row r="78" spans="1:10" x14ac:dyDescent="0.25">
      <c r="A78" t="s">
        <v>663</v>
      </c>
      <c r="B78" s="20">
        <f>'S2 - Analysis, All'!B78</f>
        <v>1</v>
      </c>
      <c r="C78" s="20">
        <f>'S2 - Analysis, All'!C78</f>
        <v>0</v>
      </c>
      <c r="D78" s="20">
        <f t="shared" si="18"/>
        <v>1</v>
      </c>
      <c r="F78" t="s">
        <v>663</v>
      </c>
      <c r="G78" s="22">
        <f t="shared" si="15"/>
        <v>4.1666666666666664E-2</v>
      </c>
      <c r="H78" s="22">
        <f t="shared" si="16"/>
        <v>0</v>
      </c>
      <c r="I78" s="22">
        <f t="shared" si="17"/>
        <v>4.1666666666666664E-2</v>
      </c>
      <c r="J78" s="51">
        <v>1</v>
      </c>
    </row>
    <row r="79" spans="1:10" x14ac:dyDescent="0.25">
      <c r="A79" t="s">
        <v>664</v>
      </c>
      <c r="B79" s="20">
        <f>'S2 - Analysis, All'!B79</f>
        <v>1</v>
      </c>
      <c r="C79" s="20">
        <f>'S2 - Analysis, All'!C79</f>
        <v>0</v>
      </c>
      <c r="D79" s="20">
        <f t="shared" si="18"/>
        <v>1</v>
      </c>
      <c r="F79" t="s">
        <v>664</v>
      </c>
      <c r="G79" s="22">
        <f t="shared" si="15"/>
        <v>4.1666666666666664E-2</v>
      </c>
      <c r="H79" s="22">
        <f t="shared" si="16"/>
        <v>0</v>
      </c>
      <c r="I79" s="22">
        <f t="shared" si="17"/>
        <v>4.1666666666666664E-2</v>
      </c>
      <c r="J79" s="51">
        <v>1</v>
      </c>
    </row>
    <row r="80" spans="1:10" x14ac:dyDescent="0.25">
      <c r="A80" t="s">
        <v>665</v>
      </c>
      <c r="B80" s="20">
        <f>'S2 - Analysis, All'!B80</f>
        <v>0</v>
      </c>
      <c r="C80" s="20">
        <f>'S2 - Analysis, All'!C80</f>
        <v>1</v>
      </c>
      <c r="D80" s="20">
        <f t="shared" si="18"/>
        <v>1</v>
      </c>
      <c r="F80" t="s">
        <v>665</v>
      </c>
      <c r="G80" s="22">
        <f t="shared" si="15"/>
        <v>0</v>
      </c>
      <c r="H80" s="22">
        <f t="shared" si="16"/>
        <v>4.3478260869565216E-2</v>
      </c>
      <c r="I80" s="22">
        <f t="shared" si="17"/>
        <v>-4.3478260869565216E-2</v>
      </c>
      <c r="J80" s="51">
        <v>0.489361702127659</v>
      </c>
    </row>
    <row r="81" spans="1:21" x14ac:dyDescent="0.25">
      <c r="A81" s="15" t="s">
        <v>666</v>
      </c>
      <c r="B81" s="33"/>
      <c r="C81" s="33"/>
      <c r="D81" s="33"/>
      <c r="E81" s="33"/>
      <c r="F81" s="15" t="s">
        <v>666</v>
      </c>
      <c r="G81" s="33"/>
      <c r="H81" s="33"/>
      <c r="I81" s="33"/>
      <c r="J81" s="33"/>
      <c r="L81" s="15" t="s">
        <v>666</v>
      </c>
      <c r="M81" s="33"/>
      <c r="N81" s="33"/>
      <c r="O81" s="33"/>
      <c r="P81" s="33"/>
      <c r="Q81" s="15" t="s">
        <v>666</v>
      </c>
      <c r="R81" s="33"/>
      <c r="S81" s="33"/>
      <c r="T81" s="33"/>
      <c r="U81" s="33"/>
    </row>
    <row r="82" spans="1:21" x14ac:dyDescent="0.25">
      <c r="A82" s="6" t="s">
        <v>614</v>
      </c>
      <c r="B82" s="20">
        <f>'S2 - Analysis, All'!B82</f>
        <v>6</v>
      </c>
      <c r="C82" s="20">
        <f>'S2 - Analysis, All'!C82</f>
        <v>9</v>
      </c>
      <c r="D82" s="20">
        <f t="shared" si="18"/>
        <v>15</v>
      </c>
      <c r="F82" s="6" t="s">
        <v>614</v>
      </c>
      <c r="G82" s="22">
        <f t="shared" ref="G82:H86" si="19">B82/B$7</f>
        <v>0.25</v>
      </c>
      <c r="H82" s="22">
        <f t="shared" si="19"/>
        <v>0.39130434782608697</v>
      </c>
      <c r="I82" s="22">
        <f t="shared" ref="I82:I87" si="20">G82-H82</f>
        <v>-0.14130434782608697</v>
      </c>
      <c r="J82" s="51">
        <v>0.35872318898109001</v>
      </c>
      <c r="L82" t="s">
        <v>667</v>
      </c>
      <c r="M82" s="20">
        <f>'S2 - Analysis, All'!M82</f>
        <v>19</v>
      </c>
      <c r="N82" s="20">
        <f>'S2 - Analysis, All'!N82</f>
        <v>21</v>
      </c>
      <c r="O82" s="20">
        <f>M82+N82</f>
        <v>40</v>
      </c>
      <c r="Q82" t="s">
        <v>667</v>
      </c>
      <c r="R82" s="22">
        <f>M82/B$7</f>
        <v>0.79166666666666663</v>
      </c>
      <c r="S82" s="22">
        <f>N82/C$7</f>
        <v>0.91304347826086951</v>
      </c>
      <c r="T82" s="22">
        <f>R82-S82</f>
        <v>-0.12137681159420288</v>
      </c>
      <c r="U82" s="51">
        <v>0.41580075870031302</v>
      </c>
    </row>
    <row r="83" spans="1:21" x14ac:dyDescent="0.25">
      <c r="A83" s="6" t="s">
        <v>615</v>
      </c>
      <c r="B83" s="20">
        <f>'S2 - Analysis, All'!B83</f>
        <v>8</v>
      </c>
      <c r="C83" s="20">
        <f>'S2 - Analysis, All'!C83</f>
        <v>7</v>
      </c>
      <c r="D83" s="20">
        <f t="shared" si="18"/>
        <v>15</v>
      </c>
      <c r="F83" s="6" t="s">
        <v>615</v>
      </c>
      <c r="G83" s="22">
        <f t="shared" si="19"/>
        <v>0.33333333333333331</v>
      </c>
      <c r="H83" s="22">
        <f t="shared" si="19"/>
        <v>0.30434782608695654</v>
      </c>
      <c r="I83" s="22">
        <f t="shared" si="20"/>
        <v>2.8985507246376774E-2</v>
      </c>
      <c r="J83" s="51">
        <v>1</v>
      </c>
      <c r="L83" t="s">
        <v>668</v>
      </c>
      <c r="M83" s="20">
        <f>'S2 - Analysis, All'!M83</f>
        <v>5</v>
      </c>
      <c r="N83" s="20">
        <f>'S2 - Analysis, All'!N83</f>
        <v>2</v>
      </c>
      <c r="O83" s="20">
        <f>M83+N83</f>
        <v>7</v>
      </c>
      <c r="Q83" t="s">
        <v>668</v>
      </c>
      <c r="R83" s="22">
        <f>M83/B$7</f>
        <v>0.20833333333333334</v>
      </c>
      <c r="S83" s="22">
        <f>N83/C$7</f>
        <v>8.6956521739130432E-2</v>
      </c>
      <c r="T83" s="22">
        <f>R83-S83</f>
        <v>0.12137681159420291</v>
      </c>
      <c r="U83" s="51">
        <v>0.41580075870031302</v>
      </c>
    </row>
    <row r="84" spans="1:21" x14ac:dyDescent="0.25">
      <c r="A84" s="6" t="s">
        <v>617</v>
      </c>
      <c r="B84" s="20">
        <f>'S2 - Analysis, All'!B84</f>
        <v>5</v>
      </c>
      <c r="C84" s="20">
        <f>'S2 - Analysis, All'!C84</f>
        <v>5</v>
      </c>
      <c r="D84" s="20">
        <f t="shared" si="18"/>
        <v>10</v>
      </c>
      <c r="F84" s="6" t="s">
        <v>617</v>
      </c>
      <c r="G84" s="22">
        <f t="shared" si="19"/>
        <v>0.20833333333333334</v>
      </c>
      <c r="H84" s="22">
        <f t="shared" si="19"/>
        <v>0.21739130434782608</v>
      </c>
      <c r="I84" s="22">
        <f t="shared" si="20"/>
        <v>-9.0579710144927383E-3</v>
      </c>
      <c r="J84" s="51">
        <v>1</v>
      </c>
    </row>
    <row r="85" spans="1:21" x14ac:dyDescent="0.25">
      <c r="A85" s="6" t="s">
        <v>618</v>
      </c>
      <c r="B85" s="20">
        <f>'S2 - Analysis, All'!B85</f>
        <v>5</v>
      </c>
      <c r="C85" s="20">
        <f>'S2 - Analysis, All'!C85</f>
        <v>1</v>
      </c>
      <c r="D85" s="20">
        <f t="shared" si="18"/>
        <v>6</v>
      </c>
      <c r="F85" s="6" t="s">
        <v>618</v>
      </c>
      <c r="G85" s="22">
        <f t="shared" si="19"/>
        <v>0.20833333333333334</v>
      </c>
      <c r="H85" s="22">
        <f t="shared" si="19"/>
        <v>4.3478260869565216E-2</v>
      </c>
      <c r="I85" s="22">
        <f t="shared" si="20"/>
        <v>0.16485507246376813</v>
      </c>
      <c r="J85" s="51">
        <v>0.18819066468744799</v>
      </c>
    </row>
    <row r="86" spans="1:21" x14ac:dyDescent="0.25">
      <c r="A86" t="s">
        <v>639</v>
      </c>
      <c r="B86" s="20">
        <f>'S2 - Analysis, All'!B86</f>
        <v>0</v>
      </c>
      <c r="C86" s="20">
        <f>'S2 - Analysis, All'!C86</f>
        <v>0</v>
      </c>
      <c r="D86" s="20">
        <f t="shared" si="18"/>
        <v>0</v>
      </c>
      <c r="F86" t="s">
        <v>639</v>
      </c>
      <c r="G86" s="22">
        <f t="shared" si="19"/>
        <v>0</v>
      </c>
      <c r="H86" s="22">
        <f t="shared" si="19"/>
        <v>0</v>
      </c>
      <c r="I86" s="22">
        <f t="shared" si="20"/>
        <v>0</v>
      </c>
      <c r="J86" s="51">
        <v>1</v>
      </c>
    </row>
    <row r="87" spans="1:21" x14ac:dyDescent="0.25">
      <c r="A87" s="6" t="s">
        <v>669</v>
      </c>
      <c r="B87" s="20">
        <f>'S2 - Analysis, All'!B87</f>
        <v>0</v>
      </c>
      <c r="C87" s="20">
        <f>'S2 - Analysis, All'!C87</f>
        <v>1</v>
      </c>
      <c r="D87" s="20">
        <f t="shared" ref="D87" si="21">B87+C87</f>
        <v>1</v>
      </c>
      <c r="F87" s="6" t="s">
        <v>669</v>
      </c>
      <c r="G87" s="22">
        <f t="shared" ref="G87" si="22">B87/B$7</f>
        <v>0</v>
      </c>
      <c r="H87" s="22">
        <f t="shared" ref="H87" si="23">C87/C$7</f>
        <v>4.3478260869565216E-2</v>
      </c>
      <c r="I87" s="22">
        <f t="shared" si="20"/>
        <v>-4.3478260869565216E-2</v>
      </c>
      <c r="J87" s="51">
        <v>0.489361702127659</v>
      </c>
    </row>
    <row r="89" spans="1:21" x14ac:dyDescent="0.25">
      <c r="A89" s="15" t="s">
        <v>670</v>
      </c>
      <c r="B89" s="19"/>
      <c r="C89" s="19"/>
      <c r="D89" s="19"/>
      <c r="E89" s="15"/>
      <c r="F89" s="15" t="s">
        <v>670</v>
      </c>
      <c r="G89" s="21"/>
      <c r="H89" s="21"/>
      <c r="I89" s="21"/>
      <c r="J89" s="50"/>
    </row>
    <row r="90" spans="1:21" x14ac:dyDescent="0.25">
      <c r="A90" t="s">
        <v>671</v>
      </c>
      <c r="B90" s="20">
        <f>'S2 - Analysis, All'!B90</f>
        <v>2</v>
      </c>
      <c r="C90" s="20">
        <f>'S2 - Analysis, All'!C90</f>
        <v>1</v>
      </c>
      <c r="D90" s="20">
        <f t="shared" ref="D90:D95" si="24">B90+C90</f>
        <v>3</v>
      </c>
      <c r="F90" t="s">
        <v>671</v>
      </c>
      <c r="G90" s="22">
        <f t="shared" ref="G90:H95" si="25">B90/B$7</f>
        <v>8.3333333333333329E-2</v>
      </c>
      <c r="H90" s="22">
        <f t="shared" si="25"/>
        <v>4.3478260869565216E-2</v>
      </c>
      <c r="I90" s="22">
        <f t="shared" ref="I90:I95" si="26">G90-H90</f>
        <v>3.9855072463768113E-2</v>
      </c>
      <c r="J90" s="51">
        <v>1</v>
      </c>
    </row>
    <row r="91" spans="1:21" x14ac:dyDescent="0.25">
      <c r="A91" t="s">
        <v>672</v>
      </c>
      <c r="B91" s="20">
        <f>'S2 - Analysis, All'!B91</f>
        <v>0</v>
      </c>
      <c r="C91" s="20">
        <f>'S2 - Analysis, All'!C91</f>
        <v>2</v>
      </c>
      <c r="D91" s="20">
        <f t="shared" si="24"/>
        <v>2</v>
      </c>
      <c r="F91" t="s">
        <v>672</v>
      </c>
      <c r="G91" s="22">
        <f t="shared" si="25"/>
        <v>0</v>
      </c>
      <c r="H91" s="22">
        <f t="shared" si="25"/>
        <v>8.6956521739130432E-2</v>
      </c>
      <c r="I91" s="22">
        <f t="shared" si="26"/>
        <v>-8.6956521739130432E-2</v>
      </c>
      <c r="J91" s="51">
        <v>0.23404255299999999</v>
      </c>
    </row>
    <row r="92" spans="1:21" x14ac:dyDescent="0.25">
      <c r="A92" t="s">
        <v>673</v>
      </c>
      <c r="B92" s="20">
        <f>'S2 - Analysis, All'!B92</f>
        <v>1</v>
      </c>
      <c r="C92" s="20">
        <f>'S2 - Analysis, All'!C92</f>
        <v>5</v>
      </c>
      <c r="D92" s="20">
        <f t="shared" si="24"/>
        <v>6</v>
      </c>
      <c r="F92" t="s">
        <v>673</v>
      </c>
      <c r="G92" s="22">
        <f t="shared" si="25"/>
        <v>4.1666666666666664E-2</v>
      </c>
      <c r="H92" s="22">
        <f t="shared" si="25"/>
        <v>0.21739130434782608</v>
      </c>
      <c r="I92" s="22">
        <f t="shared" si="26"/>
        <v>-0.17572463768115942</v>
      </c>
      <c r="J92" s="51">
        <v>9.7146626999999999E-2</v>
      </c>
    </row>
    <row r="93" spans="1:21" x14ac:dyDescent="0.25">
      <c r="A93" t="s">
        <v>674</v>
      </c>
      <c r="B93" s="20">
        <f>'S2 - Analysis, All'!B93</f>
        <v>10</v>
      </c>
      <c r="C93" s="20">
        <f>'S2 - Analysis, All'!C93</f>
        <v>6</v>
      </c>
      <c r="D93" s="20">
        <f t="shared" si="24"/>
        <v>16</v>
      </c>
      <c r="F93" t="s">
        <v>674</v>
      </c>
      <c r="G93" s="22">
        <f t="shared" si="25"/>
        <v>0.41666666666666669</v>
      </c>
      <c r="H93" s="22">
        <f t="shared" si="25"/>
        <v>0.2608695652173913</v>
      </c>
      <c r="I93" s="22">
        <f t="shared" si="26"/>
        <v>0.15579710144927539</v>
      </c>
      <c r="J93" s="51">
        <v>0.358723189</v>
      </c>
    </row>
    <row r="94" spans="1:21" x14ac:dyDescent="0.25">
      <c r="A94" t="s">
        <v>675</v>
      </c>
      <c r="B94" s="20">
        <f>'S2 - Analysis, All'!B94</f>
        <v>11</v>
      </c>
      <c r="C94" s="20">
        <f>'S2 - Analysis, All'!C94</f>
        <v>9</v>
      </c>
      <c r="D94" s="20">
        <f t="shared" si="24"/>
        <v>20</v>
      </c>
      <c r="F94" t="s">
        <v>675</v>
      </c>
      <c r="G94" s="22">
        <f t="shared" si="25"/>
        <v>0.45833333333333331</v>
      </c>
      <c r="H94" s="22">
        <f t="shared" si="25"/>
        <v>0.39130434782608697</v>
      </c>
      <c r="I94" s="22">
        <f t="shared" si="26"/>
        <v>6.7028985507246341E-2</v>
      </c>
      <c r="J94" s="51">
        <v>0.77016020699999999</v>
      </c>
    </row>
    <row r="95" spans="1:21" x14ac:dyDescent="0.25">
      <c r="A95" t="s">
        <v>676</v>
      </c>
      <c r="B95" s="20">
        <f>'S2 - Analysis, All'!B95</f>
        <v>0</v>
      </c>
      <c r="C95" s="20">
        <f>'S2 - Analysis, All'!C95</f>
        <v>0</v>
      </c>
      <c r="D95" s="20">
        <f t="shared" si="24"/>
        <v>0</v>
      </c>
      <c r="F95" t="s">
        <v>676</v>
      </c>
      <c r="G95" s="22">
        <f t="shared" si="25"/>
        <v>0</v>
      </c>
      <c r="H95" s="22">
        <f t="shared" si="25"/>
        <v>0</v>
      </c>
      <c r="I95" s="22">
        <f t="shared" si="26"/>
        <v>0</v>
      </c>
      <c r="J95" s="51">
        <v>1</v>
      </c>
    </row>
    <row r="97" spans="1:10" x14ac:dyDescent="0.25">
      <c r="A97" s="15" t="s">
        <v>17</v>
      </c>
      <c r="B97" s="33"/>
      <c r="C97" s="33"/>
      <c r="D97" s="33"/>
      <c r="E97" s="40"/>
      <c r="F97" s="15" t="s">
        <v>17</v>
      </c>
      <c r="G97" s="33"/>
      <c r="H97" s="33"/>
      <c r="I97" s="33"/>
      <c r="J97" s="58"/>
    </row>
    <row r="98" spans="1:10" x14ac:dyDescent="0.25">
      <c r="A98" t="s">
        <v>677</v>
      </c>
      <c r="B98" s="20">
        <f>'S2 - Analysis, All'!B98</f>
        <v>7</v>
      </c>
      <c r="C98" s="20">
        <f>'S2 - Analysis, All'!C98</f>
        <v>3</v>
      </c>
      <c r="D98" s="20">
        <f>B98+C98</f>
        <v>10</v>
      </c>
      <c r="F98" t="s">
        <v>677</v>
      </c>
      <c r="G98" s="22">
        <f t="shared" ref="G98:H101" si="27">B98/B$7</f>
        <v>0.29166666666666669</v>
      </c>
      <c r="H98" s="22">
        <f t="shared" si="27"/>
        <v>0.13043478260869565</v>
      </c>
      <c r="I98" s="22">
        <f t="shared" ref="I98:I101" si="28">G98-H98</f>
        <v>0.16123188405797104</v>
      </c>
      <c r="J98" s="51">
        <v>0.28646584223997001</v>
      </c>
    </row>
    <row r="99" spans="1:10" x14ac:dyDescent="0.25">
      <c r="A99" t="s">
        <v>678</v>
      </c>
      <c r="B99" s="20">
        <f>'S2 - Analysis, All'!B99</f>
        <v>12</v>
      </c>
      <c r="C99" s="20">
        <f>'S2 - Analysis, All'!C99</f>
        <v>10</v>
      </c>
      <c r="D99" s="20">
        <f>B99+C99</f>
        <v>22</v>
      </c>
      <c r="F99" t="s">
        <v>678</v>
      </c>
      <c r="G99" s="22">
        <f t="shared" si="27"/>
        <v>0.5</v>
      </c>
      <c r="H99" s="22">
        <f t="shared" si="27"/>
        <v>0.43478260869565216</v>
      </c>
      <c r="I99" s="22">
        <f t="shared" si="28"/>
        <v>6.5217391304347838E-2</v>
      </c>
      <c r="J99" s="51">
        <v>0.77248182124474996</v>
      </c>
    </row>
    <row r="100" spans="1:10" x14ac:dyDescent="0.25">
      <c r="A100" t="s">
        <v>679</v>
      </c>
      <c r="B100" s="20">
        <f>'S2 - Analysis, All'!B100</f>
        <v>5</v>
      </c>
      <c r="C100" s="20">
        <f>'S2 - Analysis, All'!C100</f>
        <v>10</v>
      </c>
      <c r="D100" s="20">
        <f>B100+C100</f>
        <v>15</v>
      </c>
      <c r="F100" t="s">
        <v>679</v>
      </c>
      <c r="G100" s="22">
        <f t="shared" si="27"/>
        <v>0.20833333333333334</v>
      </c>
      <c r="H100" s="22">
        <f t="shared" si="27"/>
        <v>0.43478260869565216</v>
      </c>
      <c r="I100" s="22">
        <f t="shared" si="28"/>
        <v>-0.22644927536231882</v>
      </c>
      <c r="J100" s="51">
        <v>0.124581370450959</v>
      </c>
    </row>
    <row r="101" spans="1:10" x14ac:dyDescent="0.25">
      <c r="A101" t="s">
        <v>680</v>
      </c>
      <c r="B101" s="20">
        <f>'S2 - Analysis, All'!B101</f>
        <v>0</v>
      </c>
      <c r="C101" s="20">
        <f>'S2 - Analysis, All'!C101</f>
        <v>0</v>
      </c>
      <c r="D101" s="20">
        <f>B101+C101</f>
        <v>0</v>
      </c>
      <c r="F101" t="s">
        <v>680</v>
      </c>
      <c r="G101" s="22">
        <f t="shared" si="27"/>
        <v>0</v>
      </c>
      <c r="H101" s="22">
        <f t="shared" si="27"/>
        <v>0</v>
      </c>
      <c r="I101" s="22">
        <f t="shared" si="28"/>
        <v>0</v>
      </c>
      <c r="J101" s="51">
        <v>1</v>
      </c>
    </row>
    <row r="103" spans="1:10" x14ac:dyDescent="0.25">
      <c r="A103" s="15" t="s">
        <v>681</v>
      </c>
      <c r="B103" s="19"/>
      <c r="C103" s="19"/>
      <c r="D103" s="19"/>
      <c r="E103" s="15"/>
      <c r="F103" s="15" t="s">
        <v>681</v>
      </c>
      <c r="G103" s="21"/>
      <c r="H103" s="21"/>
      <c r="I103" s="19"/>
      <c r="J103" s="50"/>
    </row>
    <row r="104" spans="1:10" x14ac:dyDescent="0.25">
      <c r="A104" t="s">
        <v>28</v>
      </c>
      <c r="B104" s="20">
        <f>'S2 - Analysis, All'!B104</f>
        <v>2</v>
      </c>
      <c r="C104" s="20">
        <f>'S2 - Analysis, All'!C104</f>
        <v>5</v>
      </c>
      <c r="D104" s="20">
        <f>B104+C104</f>
        <v>7</v>
      </c>
      <c r="F104" t="s">
        <v>28</v>
      </c>
      <c r="G104" s="22">
        <f t="shared" ref="G104:H106" si="29">B104/B$7</f>
        <v>8.3333333333333329E-2</v>
      </c>
      <c r="H104" s="22">
        <f t="shared" si="29"/>
        <v>0.21739130434782608</v>
      </c>
      <c r="I104" s="22">
        <f>G104-H104</f>
        <v>-0.13405797101449274</v>
      </c>
      <c r="J104" s="51">
        <v>0.24481561499999999</v>
      </c>
    </row>
    <row r="105" spans="1:10" x14ac:dyDescent="0.25">
      <c r="A105" t="s">
        <v>34</v>
      </c>
      <c r="B105" s="20">
        <f>'S2 - Analysis, All'!B105</f>
        <v>20</v>
      </c>
      <c r="C105" s="20">
        <f>'S2 - Analysis, All'!C105</f>
        <v>18</v>
      </c>
      <c r="D105" s="20">
        <f>B105+C105</f>
        <v>38</v>
      </c>
      <c r="F105" t="s">
        <v>34</v>
      </c>
      <c r="G105" s="22">
        <f t="shared" si="29"/>
        <v>0.83333333333333337</v>
      </c>
      <c r="H105" s="22">
        <f t="shared" si="29"/>
        <v>0.78260869565217395</v>
      </c>
      <c r="I105" s="22">
        <f>G105-H105</f>
        <v>5.0724637681159424E-2</v>
      </c>
      <c r="J105" s="51">
        <v>0.72379322899999998</v>
      </c>
    </row>
    <row r="106" spans="1:10" x14ac:dyDescent="0.25">
      <c r="A106" t="s">
        <v>96</v>
      </c>
      <c r="B106" s="20">
        <f>'S2 - Analysis, All'!B106</f>
        <v>2</v>
      </c>
      <c r="C106" s="20">
        <f>'S2 - Analysis, All'!C106</f>
        <v>0</v>
      </c>
      <c r="D106" s="20">
        <f>B106+C106</f>
        <v>2</v>
      </c>
      <c r="F106" t="s">
        <v>96</v>
      </c>
      <c r="G106" s="22">
        <f t="shared" si="29"/>
        <v>8.3333333333333329E-2</v>
      </c>
      <c r="H106" s="22">
        <f t="shared" si="29"/>
        <v>0</v>
      </c>
      <c r="I106" s="22">
        <f>G106-H106</f>
        <v>8.3333333333333329E-2</v>
      </c>
      <c r="J106" s="51">
        <v>0.48936170200000001</v>
      </c>
    </row>
    <row r="108" spans="1:10" x14ac:dyDescent="0.25">
      <c r="A108" s="15" t="s">
        <v>682</v>
      </c>
      <c r="B108" s="107" t="s">
        <v>683</v>
      </c>
      <c r="C108" s="19"/>
      <c r="D108" s="19"/>
      <c r="E108" s="15"/>
      <c r="F108" s="15" t="s">
        <v>682</v>
      </c>
      <c r="G108" s="21"/>
      <c r="H108" s="21"/>
      <c r="I108" s="19"/>
      <c r="J108" s="50"/>
    </row>
    <row r="109" spans="1:10" x14ac:dyDescent="0.25">
      <c r="A109" t="s">
        <v>28</v>
      </c>
      <c r="B109" s="20">
        <f>'S2 - Analysis, All'!B109</f>
        <v>6</v>
      </c>
      <c r="C109" s="20">
        <f>'S2 - Analysis, All'!C109</f>
        <v>10</v>
      </c>
      <c r="D109" s="20">
        <f>B109+C109</f>
        <v>16</v>
      </c>
      <c r="F109" t="s">
        <v>28</v>
      </c>
      <c r="G109" s="22">
        <f t="shared" ref="G109:H111" si="30">B109/B$7</f>
        <v>0.25</v>
      </c>
      <c r="H109" s="22">
        <f t="shared" si="30"/>
        <v>0.43478260869565216</v>
      </c>
      <c r="I109" s="22">
        <f>G109-H109</f>
        <v>-0.18478260869565216</v>
      </c>
      <c r="J109" s="51">
        <v>0.227018416</v>
      </c>
    </row>
    <row r="110" spans="1:10" x14ac:dyDescent="0.25">
      <c r="A110" t="s">
        <v>34</v>
      </c>
      <c r="B110" s="20">
        <f>'S2 - Analysis, All'!B110</f>
        <v>17</v>
      </c>
      <c r="C110" s="20">
        <f>'S2 - Analysis, All'!C110</f>
        <v>13</v>
      </c>
      <c r="D110" s="20">
        <f>B110+C110</f>
        <v>30</v>
      </c>
      <c r="F110" t="s">
        <v>34</v>
      </c>
      <c r="G110" s="22">
        <f t="shared" si="30"/>
        <v>0.70833333333333337</v>
      </c>
      <c r="H110" s="22">
        <f t="shared" si="30"/>
        <v>0.56521739130434778</v>
      </c>
      <c r="I110" s="22">
        <f>G110-H110</f>
        <v>0.14311594202898559</v>
      </c>
      <c r="J110" s="51">
        <v>0.37146881199999998</v>
      </c>
    </row>
    <row r="111" spans="1:10" x14ac:dyDescent="0.25">
      <c r="A111" t="s">
        <v>96</v>
      </c>
      <c r="B111" s="20">
        <f>'S2 - Analysis, All'!B111</f>
        <v>1</v>
      </c>
      <c r="C111" s="20">
        <f>'S2 - Analysis, All'!C111</f>
        <v>0</v>
      </c>
      <c r="D111" s="20">
        <f>B111+C111</f>
        <v>1</v>
      </c>
      <c r="F111" t="s">
        <v>96</v>
      </c>
      <c r="G111" s="22">
        <f t="shared" si="30"/>
        <v>4.1666666666666664E-2</v>
      </c>
      <c r="H111" s="22">
        <f t="shared" si="30"/>
        <v>0</v>
      </c>
      <c r="I111" s="22">
        <f>G111-H111</f>
        <v>4.1666666666666664E-2</v>
      </c>
      <c r="J111" s="51">
        <v>1</v>
      </c>
    </row>
    <row r="112" spans="1:10" x14ac:dyDescent="0.25">
      <c r="I112" s="22"/>
    </row>
    <row r="113" spans="1:10" x14ac:dyDescent="0.25">
      <c r="A113" s="15" t="s">
        <v>684</v>
      </c>
      <c r="B113" s="19"/>
      <c r="C113" s="19"/>
      <c r="D113" s="19"/>
      <c r="E113" s="15"/>
      <c r="F113" s="15" t="s">
        <v>684</v>
      </c>
      <c r="G113" s="21"/>
      <c r="H113" s="21"/>
      <c r="I113" s="19"/>
      <c r="J113" s="50"/>
    </row>
    <row r="114" spans="1:10" x14ac:dyDescent="0.25">
      <c r="A114" t="s">
        <v>38</v>
      </c>
      <c r="B114" s="20">
        <f>'S2 - Analysis, All'!B114</f>
        <v>17</v>
      </c>
      <c r="C114" s="20">
        <f>'S2 - Analysis, All'!C114</f>
        <v>8</v>
      </c>
      <c r="D114" s="20">
        <f>B114+C114</f>
        <v>25</v>
      </c>
      <c r="F114" t="s">
        <v>38</v>
      </c>
      <c r="G114" s="22">
        <f t="shared" ref="G114:H117" si="31">B114/B$7</f>
        <v>0.70833333333333337</v>
      </c>
      <c r="H114" s="22">
        <f t="shared" si="31"/>
        <v>0.34782608695652173</v>
      </c>
      <c r="I114" s="22">
        <f>G114-H114</f>
        <v>0.36050724637681164</v>
      </c>
      <c r="J114" s="51">
        <v>1.9854722000000002E-2</v>
      </c>
    </row>
    <row r="115" spans="1:10" x14ac:dyDescent="0.25">
      <c r="A115" t="s">
        <v>249</v>
      </c>
      <c r="B115" s="20">
        <f>'S2 - Analysis, All'!B115</f>
        <v>1</v>
      </c>
      <c r="C115" s="20">
        <f>'S2 - Analysis, All'!C115</f>
        <v>4</v>
      </c>
      <c r="D115" s="20">
        <f>B115+C115</f>
        <v>5</v>
      </c>
      <c r="F115" t="s">
        <v>249</v>
      </c>
      <c r="G115" s="22">
        <f t="shared" si="31"/>
        <v>4.1666666666666664E-2</v>
      </c>
      <c r="H115" s="22">
        <f t="shared" si="31"/>
        <v>0.17391304347826086</v>
      </c>
      <c r="I115" s="22">
        <f>G115-H115</f>
        <v>-0.13224637681159421</v>
      </c>
      <c r="J115" s="51">
        <v>0.18819066500000001</v>
      </c>
    </row>
    <row r="116" spans="1:10" x14ac:dyDescent="0.25">
      <c r="A116" t="s">
        <v>124</v>
      </c>
      <c r="B116" s="20">
        <f>'S2 - Analysis, All'!B116</f>
        <v>6</v>
      </c>
      <c r="C116" s="20">
        <f>'S2 - Analysis, All'!C116</f>
        <v>8</v>
      </c>
      <c r="D116" s="20">
        <f>B116+C116</f>
        <v>14</v>
      </c>
      <c r="F116" t="s">
        <v>124</v>
      </c>
      <c r="G116" s="22">
        <f t="shared" si="31"/>
        <v>0.25</v>
      </c>
      <c r="H116" s="22">
        <f t="shared" si="31"/>
        <v>0.34782608695652173</v>
      </c>
      <c r="I116" s="22">
        <f>G116-H116</f>
        <v>-9.7826086956521729E-2</v>
      </c>
      <c r="J116" s="51">
        <v>0.53432955299999996</v>
      </c>
    </row>
    <row r="117" spans="1:10" x14ac:dyDescent="0.25">
      <c r="A117" t="s">
        <v>64</v>
      </c>
      <c r="B117" s="20">
        <f>'S2 - Analysis, All'!B117</f>
        <v>11</v>
      </c>
      <c r="C117" s="20">
        <f>'S2 - Analysis, All'!C117</f>
        <v>11</v>
      </c>
      <c r="D117" s="20">
        <f>B117+C117</f>
        <v>22</v>
      </c>
      <c r="F117" t="s">
        <v>64</v>
      </c>
      <c r="G117" s="22">
        <f t="shared" si="31"/>
        <v>0.45833333333333331</v>
      </c>
      <c r="H117" s="22">
        <f t="shared" si="31"/>
        <v>0.47826086956521741</v>
      </c>
      <c r="I117" s="22">
        <f>G117-H117</f>
        <v>-1.9927536231884091E-2</v>
      </c>
      <c r="J117" s="51">
        <v>1</v>
      </c>
    </row>
    <row r="118" spans="1:10" x14ac:dyDescent="0.25">
      <c r="A118" s="15" t="s">
        <v>21</v>
      </c>
      <c r="B118" s="19"/>
      <c r="C118" s="19"/>
      <c r="D118" s="19"/>
      <c r="E118" s="15"/>
      <c r="F118" s="15" t="s">
        <v>21</v>
      </c>
      <c r="G118" s="21"/>
      <c r="H118" s="21"/>
      <c r="I118" s="19"/>
      <c r="J118" s="50"/>
    </row>
    <row r="119" spans="1:10" x14ac:dyDescent="0.25">
      <c r="A119" t="s">
        <v>614</v>
      </c>
      <c r="B119" s="20">
        <f>'S2 - Analysis, All'!B119</f>
        <v>13</v>
      </c>
      <c r="C119" s="20">
        <f>'S2 - Analysis, All'!C119</f>
        <v>14</v>
      </c>
      <c r="D119" s="20">
        <f>B119+C119</f>
        <v>27</v>
      </c>
      <c r="F119" t="s">
        <v>614</v>
      </c>
      <c r="G119" s="22">
        <f>B119/B$7</f>
        <v>0.54166666666666663</v>
      </c>
      <c r="H119" s="22">
        <f>C119/C$7</f>
        <v>0.60869565217391308</v>
      </c>
      <c r="I119" s="22">
        <f>G119-H119</f>
        <v>-6.7028985507246452E-2</v>
      </c>
      <c r="J119" s="51">
        <v>0.77016020699999999</v>
      </c>
    </row>
    <row r="120" spans="1:10" x14ac:dyDescent="0.25">
      <c r="A120" t="s">
        <v>615</v>
      </c>
      <c r="B120" s="20">
        <f>'S2 - Analysis, All'!B120</f>
        <v>11</v>
      </c>
      <c r="C120" s="20">
        <f>'S2 - Analysis, All'!C120</f>
        <v>9</v>
      </c>
      <c r="D120" s="20">
        <f>B120+C120</f>
        <v>20</v>
      </c>
      <c r="F120" t="s">
        <v>615</v>
      </c>
      <c r="G120" s="22">
        <f>B120/B$7</f>
        <v>0.45833333333333331</v>
      </c>
      <c r="H120" s="22">
        <f>C120/C$7</f>
        <v>0.39130434782608697</v>
      </c>
      <c r="I120" s="22">
        <f>G120-H120</f>
        <v>6.7028985507246341E-2</v>
      </c>
      <c r="J120" s="51">
        <v>0.77016020699999999</v>
      </c>
    </row>
    <row r="121" spans="1:10" x14ac:dyDescent="0.25">
      <c r="A121" s="15" t="s">
        <v>685</v>
      </c>
      <c r="B121" s="19"/>
      <c r="C121" s="19"/>
      <c r="D121" s="19"/>
      <c r="E121" s="15"/>
      <c r="F121" s="15" t="s">
        <v>685</v>
      </c>
      <c r="G121" s="21"/>
      <c r="H121" s="21"/>
      <c r="I121" s="21"/>
      <c r="J121" s="50"/>
    </row>
    <row r="122" spans="1:10" x14ac:dyDescent="0.25">
      <c r="A122" t="s">
        <v>39</v>
      </c>
      <c r="B122" s="20">
        <f>'S2 - Analysis, All'!B122</f>
        <v>21</v>
      </c>
      <c r="C122" s="20">
        <f>'S2 - Analysis, All'!C122</f>
        <v>15</v>
      </c>
      <c r="D122" s="20">
        <f>B122+C122</f>
        <v>36</v>
      </c>
      <c r="F122" t="s">
        <v>39</v>
      </c>
      <c r="G122" s="22">
        <f t="shared" ref="G122:H124" si="32">B122/B$7</f>
        <v>0.875</v>
      </c>
      <c r="H122" s="22">
        <f t="shared" si="32"/>
        <v>0.65217391304347827</v>
      </c>
      <c r="I122" s="22">
        <f>G122-H122</f>
        <v>0.22282608695652173</v>
      </c>
      <c r="J122" s="51">
        <v>9.3307729000000006E-2</v>
      </c>
    </row>
    <row r="123" spans="1:10" x14ac:dyDescent="0.25">
      <c r="A123" t="s">
        <v>125</v>
      </c>
      <c r="B123" s="20">
        <f>'S2 - Analysis, All'!B123</f>
        <v>3</v>
      </c>
      <c r="C123" s="20">
        <f>'S2 - Analysis, All'!C123</f>
        <v>8</v>
      </c>
      <c r="D123" s="20">
        <f>B123+C123</f>
        <v>11</v>
      </c>
      <c r="F123" t="s">
        <v>125</v>
      </c>
      <c r="G123" s="22">
        <f t="shared" si="32"/>
        <v>0.125</v>
      </c>
      <c r="H123" s="22">
        <f t="shared" si="32"/>
        <v>0.34782608695652173</v>
      </c>
      <c r="I123" s="22">
        <f>G123-H123</f>
        <v>-0.22282608695652173</v>
      </c>
      <c r="J123" s="51">
        <v>9.3307729000000006E-2</v>
      </c>
    </row>
    <row r="124" spans="1:10" x14ac:dyDescent="0.25">
      <c r="A124" t="s">
        <v>96</v>
      </c>
      <c r="B124" s="20">
        <f>'S2 - Analysis, All'!B124</f>
        <v>0</v>
      </c>
      <c r="C124" s="20">
        <f>'S2 - Analysis, All'!C124</f>
        <v>0</v>
      </c>
      <c r="D124" s="20">
        <f>B124+C124</f>
        <v>0</v>
      </c>
      <c r="F124" t="s">
        <v>96</v>
      </c>
      <c r="G124" s="22">
        <f t="shared" si="32"/>
        <v>0</v>
      </c>
      <c r="H124" s="22">
        <f t="shared" si="32"/>
        <v>0</v>
      </c>
      <c r="I124" s="22">
        <f>G124-H124</f>
        <v>0</v>
      </c>
      <c r="J124" s="51">
        <v>1</v>
      </c>
    </row>
    <row r="125" spans="1:10" x14ac:dyDescent="0.25">
      <c r="A125" s="32" t="s">
        <v>686</v>
      </c>
      <c r="B125" s="33"/>
      <c r="C125" s="33"/>
      <c r="D125" s="33"/>
      <c r="E125" s="34"/>
      <c r="F125" s="32" t="s">
        <v>686</v>
      </c>
      <c r="G125" s="35"/>
      <c r="H125" s="35"/>
      <c r="I125" s="33"/>
      <c r="J125" s="52"/>
    </row>
    <row r="126" spans="1:10" x14ac:dyDescent="0.25">
      <c r="A126" t="s">
        <v>28</v>
      </c>
      <c r="B126" s="20">
        <f>'S2 - Analysis, All'!B126</f>
        <v>13</v>
      </c>
      <c r="C126" s="20">
        <f>'S2 - Analysis, All'!C126</f>
        <v>12</v>
      </c>
      <c r="D126" s="20">
        <f>B126+C126</f>
        <v>25</v>
      </c>
      <c r="F126" t="s">
        <v>28</v>
      </c>
      <c r="G126" s="22">
        <f>B126/B$7</f>
        <v>0.54166666666666663</v>
      </c>
      <c r="H126" s="22">
        <f>C126/C$7</f>
        <v>0.52173913043478259</v>
      </c>
      <c r="I126" s="22">
        <f>G126-H126</f>
        <v>1.9927536231884035E-2</v>
      </c>
      <c r="J126" s="51">
        <v>1</v>
      </c>
    </row>
    <row r="127" spans="1:10" x14ac:dyDescent="0.25">
      <c r="A127" t="s">
        <v>34</v>
      </c>
      <c r="B127" s="20">
        <f>'S2 - Analysis, All'!B127</f>
        <v>11</v>
      </c>
      <c r="C127" s="20">
        <f>'S2 - Analysis, All'!C127</f>
        <v>11</v>
      </c>
      <c r="D127" s="20">
        <f>B127+C127</f>
        <v>22</v>
      </c>
      <c r="F127" t="s">
        <v>34</v>
      </c>
      <c r="G127" s="22">
        <f>B127/B$7</f>
        <v>0.45833333333333331</v>
      </c>
      <c r="H127" s="22">
        <f>C127/C$7</f>
        <v>0.47826086956521741</v>
      </c>
      <c r="I127" s="22">
        <f>G127-H127</f>
        <v>-1.9927536231884091E-2</v>
      </c>
      <c r="J127" s="51">
        <v>1</v>
      </c>
    </row>
    <row r="129" spans="1:21" x14ac:dyDescent="0.25">
      <c r="A129" s="15" t="s">
        <v>687</v>
      </c>
      <c r="B129" s="19"/>
      <c r="C129" s="19"/>
      <c r="D129" s="19"/>
      <c r="E129" s="15"/>
      <c r="F129" s="15" t="s">
        <v>687</v>
      </c>
      <c r="G129" s="21"/>
      <c r="H129" s="21"/>
      <c r="I129" s="21"/>
      <c r="J129" s="50"/>
      <c r="L129" s="15" t="s">
        <v>703</v>
      </c>
      <c r="M129" s="19"/>
      <c r="N129" s="19"/>
      <c r="O129" s="19"/>
      <c r="P129" s="15"/>
      <c r="Q129" s="15" t="s">
        <v>703</v>
      </c>
      <c r="R129" s="21"/>
      <c r="S129" s="21"/>
      <c r="T129" s="21"/>
      <c r="U129" s="50"/>
    </row>
    <row r="130" spans="1:21" x14ac:dyDescent="0.25">
      <c r="A130" t="s">
        <v>688</v>
      </c>
      <c r="B130" s="20">
        <f>'S2 - Analysis, All'!B130</f>
        <v>4</v>
      </c>
      <c r="C130" s="20">
        <f>'S2 - Analysis, All'!C130</f>
        <v>5</v>
      </c>
      <c r="D130" s="20">
        <f t="shared" ref="D130:D143" si="33">B130+C130</f>
        <v>9</v>
      </c>
      <c r="F130" t="s">
        <v>688</v>
      </c>
      <c r="G130" s="22">
        <f t="shared" ref="G130:G143" si="34">B130/B$7</f>
        <v>0.16666666666666666</v>
      </c>
      <c r="H130" s="22">
        <f t="shared" ref="H130:H143" si="35">C130/C$7</f>
        <v>0.21739130434782608</v>
      </c>
      <c r="I130" s="22">
        <f t="shared" ref="I130:I143" si="36">G130-H130</f>
        <v>-5.0724637681159424E-2</v>
      </c>
      <c r="J130" s="51">
        <v>0.72379322899999998</v>
      </c>
      <c r="L130" t="s">
        <v>689</v>
      </c>
      <c r="M130" s="20">
        <f>'S2 - Analysis, All'!M130</f>
        <v>9</v>
      </c>
      <c r="N130" s="20">
        <f>'S2 - Analysis, All'!N130</f>
        <v>11</v>
      </c>
      <c r="O130" s="20">
        <f>SUM(D130:D136)</f>
        <v>20</v>
      </c>
      <c r="Q130" t="s">
        <v>689</v>
      </c>
      <c r="R130" s="24">
        <f t="shared" ref="R130:S134" si="37">M130/B$7</f>
        <v>0.375</v>
      </c>
      <c r="S130" s="24">
        <f t="shared" si="37"/>
        <v>0.47826086956521741</v>
      </c>
      <c r="T130" s="24">
        <f>R130-S130</f>
        <v>-0.10326086956521741</v>
      </c>
      <c r="U130" s="51">
        <v>0.56121494100000002</v>
      </c>
    </row>
    <row r="131" spans="1:21" x14ac:dyDescent="0.25">
      <c r="A131" t="s">
        <v>84</v>
      </c>
      <c r="B131" s="20">
        <f>'S2 - Analysis, All'!B131</f>
        <v>1</v>
      </c>
      <c r="C131" s="20">
        <f>'S2 - Analysis, All'!C131</f>
        <v>0</v>
      </c>
      <c r="D131" s="20">
        <f t="shared" si="33"/>
        <v>1</v>
      </c>
      <c r="F131" t="s">
        <v>84</v>
      </c>
      <c r="G131" s="22">
        <f t="shared" si="34"/>
        <v>4.1666666666666664E-2</v>
      </c>
      <c r="H131" s="22">
        <f t="shared" si="35"/>
        <v>0</v>
      </c>
      <c r="I131" s="22">
        <f t="shared" si="36"/>
        <v>4.1666666666666664E-2</v>
      </c>
      <c r="J131" s="51">
        <v>1</v>
      </c>
      <c r="L131" t="s">
        <v>690</v>
      </c>
      <c r="M131" s="20">
        <f>'S2 - Analysis, All'!M131</f>
        <v>5</v>
      </c>
      <c r="N131" s="20">
        <f>'S2 - Analysis, All'!N131</f>
        <v>2</v>
      </c>
      <c r="O131" s="20">
        <f>SUM(D137:D138)</f>
        <v>7</v>
      </c>
      <c r="Q131" t="s">
        <v>690</v>
      </c>
      <c r="R131" s="24">
        <f t="shared" si="37"/>
        <v>0.20833333333333334</v>
      </c>
      <c r="S131" s="24">
        <f t="shared" si="37"/>
        <v>8.6956521739130432E-2</v>
      </c>
      <c r="T131" s="24">
        <f>R131-S131</f>
        <v>0.12137681159420291</v>
      </c>
      <c r="U131" s="51">
        <v>0.41580075900000002</v>
      </c>
    </row>
    <row r="132" spans="1:21" x14ac:dyDescent="0.25">
      <c r="A132" t="s">
        <v>171</v>
      </c>
      <c r="B132" s="20">
        <f>'S2 - Analysis, All'!B132</f>
        <v>0</v>
      </c>
      <c r="C132" s="20">
        <f>'S2 - Analysis, All'!C132</f>
        <v>1</v>
      </c>
      <c r="D132" s="20">
        <f t="shared" si="33"/>
        <v>1</v>
      </c>
      <c r="F132" t="s">
        <v>171</v>
      </c>
      <c r="G132" s="22">
        <f t="shared" si="34"/>
        <v>0</v>
      </c>
      <c r="H132" s="22">
        <f t="shared" si="35"/>
        <v>4.3478260869565216E-2</v>
      </c>
      <c r="I132" s="22">
        <f t="shared" si="36"/>
        <v>-4.3478260869565216E-2</v>
      </c>
      <c r="J132" s="51">
        <v>0.48936170200000001</v>
      </c>
      <c r="L132" t="s">
        <v>691</v>
      </c>
      <c r="M132" s="20">
        <f>'S2 - Analysis, All'!M132</f>
        <v>1</v>
      </c>
      <c r="N132" s="20">
        <f>'S2 - Analysis, All'!N132</f>
        <v>2</v>
      </c>
      <c r="O132" s="20">
        <f>SUM(D139:D140)</f>
        <v>3</v>
      </c>
      <c r="Q132" t="s">
        <v>691</v>
      </c>
      <c r="R132" s="24">
        <f t="shared" si="37"/>
        <v>4.1666666666666664E-2</v>
      </c>
      <c r="S132" s="24">
        <f t="shared" si="37"/>
        <v>8.6956521739130432E-2</v>
      </c>
      <c r="T132" s="24">
        <f>R132-S132</f>
        <v>-4.5289855072463768E-2</v>
      </c>
      <c r="U132" s="51">
        <v>0.60851063800000005</v>
      </c>
    </row>
    <row r="133" spans="1:21" x14ac:dyDescent="0.25">
      <c r="A133" t="s">
        <v>692</v>
      </c>
      <c r="B133" s="20">
        <f>'S2 - Analysis, All'!B133</f>
        <v>2</v>
      </c>
      <c r="C133" s="20">
        <f>'S2 - Analysis, All'!C133</f>
        <v>0</v>
      </c>
      <c r="D133" s="20">
        <f t="shared" si="33"/>
        <v>2</v>
      </c>
      <c r="F133" t="s">
        <v>692</v>
      </c>
      <c r="G133" s="22">
        <f t="shared" si="34"/>
        <v>8.3333333333333329E-2</v>
      </c>
      <c r="H133" s="22">
        <f t="shared" si="35"/>
        <v>0</v>
      </c>
      <c r="I133" s="22">
        <f t="shared" si="36"/>
        <v>8.3333333333333329E-2</v>
      </c>
      <c r="J133" s="51">
        <v>0.48936170200000001</v>
      </c>
      <c r="L133" t="s">
        <v>693</v>
      </c>
      <c r="M133" s="20">
        <f>'S2 - Analysis, All'!M133</f>
        <v>9</v>
      </c>
      <c r="N133" s="20">
        <f>'S2 - Analysis, All'!N133</f>
        <v>7</v>
      </c>
      <c r="O133" s="20">
        <f>D141</f>
        <v>16</v>
      </c>
      <c r="Q133" t="s">
        <v>693</v>
      </c>
      <c r="R133" s="24">
        <f t="shared" si="37"/>
        <v>0.375</v>
      </c>
      <c r="S133" s="24">
        <f t="shared" si="37"/>
        <v>0.30434782608695654</v>
      </c>
      <c r="T133" s="24">
        <f>R133-S133</f>
        <v>7.0652173913043459E-2</v>
      </c>
      <c r="U133" s="51">
        <v>0.76010916399999995</v>
      </c>
    </row>
    <row r="134" spans="1:21" x14ac:dyDescent="0.25">
      <c r="A134" t="s">
        <v>48</v>
      </c>
      <c r="B134" s="20">
        <f>'S2 - Analysis, All'!B134</f>
        <v>1</v>
      </c>
      <c r="C134" s="20">
        <f>'S2 - Analysis, All'!C134</f>
        <v>1</v>
      </c>
      <c r="D134" s="20">
        <f t="shared" si="33"/>
        <v>2</v>
      </c>
      <c r="F134" t="s">
        <v>48</v>
      </c>
      <c r="G134" s="22">
        <f t="shared" si="34"/>
        <v>4.1666666666666664E-2</v>
      </c>
      <c r="H134" s="22">
        <f t="shared" si="35"/>
        <v>4.3478260869565216E-2</v>
      </c>
      <c r="I134" s="22">
        <f t="shared" si="36"/>
        <v>-1.8115942028985518E-3</v>
      </c>
      <c r="J134" s="51">
        <v>1</v>
      </c>
      <c r="L134" t="s">
        <v>694</v>
      </c>
      <c r="M134" s="20">
        <f>'S2 - Analysis, All'!M134</f>
        <v>0</v>
      </c>
      <c r="N134" s="20">
        <f>'S2 - Analysis, All'!N134</f>
        <v>1</v>
      </c>
      <c r="O134" s="20">
        <f>SUM(D142:D143)</f>
        <v>1</v>
      </c>
      <c r="Q134" t="s">
        <v>694</v>
      </c>
      <c r="R134" s="24">
        <f t="shared" si="37"/>
        <v>0</v>
      </c>
      <c r="S134" s="24">
        <f t="shared" si="37"/>
        <v>4.3478260869565216E-2</v>
      </c>
      <c r="T134" s="24">
        <f>R134-S134</f>
        <v>-4.3478260869565216E-2</v>
      </c>
      <c r="U134" s="51">
        <v>0.48936170200000001</v>
      </c>
    </row>
    <row r="135" spans="1:21" x14ac:dyDescent="0.25">
      <c r="A135" t="s">
        <v>337</v>
      </c>
      <c r="B135" s="20">
        <f>'S2 - Analysis, All'!B135</f>
        <v>1</v>
      </c>
      <c r="C135" s="20">
        <f>'S2 - Analysis, All'!C135</f>
        <v>0</v>
      </c>
      <c r="D135" s="20">
        <f t="shared" si="33"/>
        <v>1</v>
      </c>
      <c r="F135" t="s">
        <v>337</v>
      </c>
      <c r="G135" s="22">
        <f t="shared" si="34"/>
        <v>4.1666666666666664E-2</v>
      </c>
      <c r="H135" s="22">
        <f t="shared" si="35"/>
        <v>0</v>
      </c>
      <c r="I135" s="22">
        <f t="shared" si="36"/>
        <v>4.1666666666666664E-2</v>
      </c>
      <c r="J135" s="51">
        <v>1</v>
      </c>
    </row>
    <row r="136" spans="1:21" x14ac:dyDescent="0.25">
      <c r="A136" t="s">
        <v>695</v>
      </c>
      <c r="B136" s="20">
        <f>'S2 - Analysis, All'!B136</f>
        <v>0</v>
      </c>
      <c r="C136" s="20">
        <f>'S2 - Analysis, All'!C136</f>
        <v>4</v>
      </c>
      <c r="D136" s="20">
        <f t="shared" si="33"/>
        <v>4</v>
      </c>
      <c r="F136" t="s">
        <v>695</v>
      </c>
      <c r="G136" s="22">
        <f t="shared" si="34"/>
        <v>0</v>
      </c>
      <c r="H136" s="22">
        <f t="shared" si="35"/>
        <v>0.17391304347826086</v>
      </c>
      <c r="I136" s="22">
        <f t="shared" si="36"/>
        <v>-0.17391304347826086</v>
      </c>
      <c r="J136" s="51">
        <v>4.9645389999999998E-2</v>
      </c>
    </row>
    <row r="137" spans="1:21" x14ac:dyDescent="0.25">
      <c r="A137" t="s">
        <v>398</v>
      </c>
      <c r="B137" s="20">
        <f>'S2 - Analysis, All'!B137</f>
        <v>1</v>
      </c>
      <c r="C137" s="20">
        <f>'S2 - Analysis, All'!C137</f>
        <v>0</v>
      </c>
      <c r="D137" s="20">
        <f t="shared" si="33"/>
        <v>1</v>
      </c>
      <c r="F137" t="s">
        <v>398</v>
      </c>
      <c r="G137" s="22">
        <f t="shared" si="34"/>
        <v>4.1666666666666664E-2</v>
      </c>
      <c r="H137" s="22">
        <f t="shared" si="35"/>
        <v>0</v>
      </c>
      <c r="I137" s="22">
        <f t="shared" si="36"/>
        <v>4.1666666666666664E-2</v>
      </c>
      <c r="J137" s="51">
        <v>1</v>
      </c>
    </row>
    <row r="138" spans="1:21" x14ac:dyDescent="0.25">
      <c r="A138" t="s">
        <v>60</v>
      </c>
      <c r="B138" s="20">
        <f>'S2 - Analysis, All'!B138</f>
        <v>4</v>
      </c>
      <c r="C138" s="20">
        <f>'S2 - Analysis, All'!C138</f>
        <v>2</v>
      </c>
      <c r="D138" s="20">
        <f t="shared" si="33"/>
        <v>6</v>
      </c>
      <c r="F138" t="s">
        <v>60</v>
      </c>
      <c r="G138" s="22">
        <f t="shared" si="34"/>
        <v>0.16666666666666666</v>
      </c>
      <c r="H138" s="22">
        <f t="shared" si="35"/>
        <v>8.6956521739130432E-2</v>
      </c>
      <c r="I138" s="22">
        <f t="shared" si="36"/>
        <v>7.9710144927536225E-2</v>
      </c>
      <c r="J138" s="51">
        <v>0.666171862</v>
      </c>
    </row>
    <row r="139" spans="1:21" x14ac:dyDescent="0.25">
      <c r="A139" t="s">
        <v>350</v>
      </c>
      <c r="B139" s="20">
        <f>'S2 - Analysis, All'!B139</f>
        <v>1</v>
      </c>
      <c r="C139" s="20">
        <f>'S2 - Analysis, All'!C139</f>
        <v>0</v>
      </c>
      <c r="D139" s="20">
        <f t="shared" si="33"/>
        <v>1</v>
      </c>
      <c r="F139" t="s">
        <v>350</v>
      </c>
      <c r="G139" s="22">
        <f t="shared" si="34"/>
        <v>4.1666666666666664E-2</v>
      </c>
      <c r="H139" s="22">
        <f t="shared" si="35"/>
        <v>0</v>
      </c>
      <c r="I139" s="22">
        <f t="shared" si="36"/>
        <v>4.1666666666666664E-2</v>
      </c>
      <c r="J139" s="51">
        <v>1</v>
      </c>
    </row>
    <row r="140" spans="1:21" x14ac:dyDescent="0.25">
      <c r="A140" t="s">
        <v>235</v>
      </c>
      <c r="B140" s="20">
        <f>'S2 - Analysis, All'!B140</f>
        <v>0</v>
      </c>
      <c r="C140" s="20">
        <f>'S2 - Analysis, All'!C140</f>
        <v>2</v>
      </c>
      <c r="D140" s="20">
        <f t="shared" si="33"/>
        <v>2</v>
      </c>
      <c r="F140" t="s">
        <v>235</v>
      </c>
      <c r="G140" s="22">
        <f t="shared" si="34"/>
        <v>0</v>
      </c>
      <c r="H140" s="22">
        <f t="shared" si="35"/>
        <v>8.6956521739130432E-2</v>
      </c>
      <c r="I140" s="22">
        <f t="shared" si="36"/>
        <v>-8.6956521739130432E-2</v>
      </c>
      <c r="J140" s="51">
        <v>0.23404255299999999</v>
      </c>
    </row>
    <row r="141" spans="1:21" x14ac:dyDescent="0.25">
      <c r="A141" t="s">
        <v>35</v>
      </c>
      <c r="B141" s="20">
        <f>'S2 - Analysis, All'!B141</f>
        <v>9</v>
      </c>
      <c r="C141" s="20">
        <f>'S2 - Analysis, All'!C141</f>
        <v>7</v>
      </c>
      <c r="D141" s="20">
        <f t="shared" si="33"/>
        <v>16</v>
      </c>
      <c r="F141" t="s">
        <v>35</v>
      </c>
      <c r="G141" s="22">
        <f t="shared" si="34"/>
        <v>0.375</v>
      </c>
      <c r="H141" s="22">
        <f t="shared" si="35"/>
        <v>0.30434782608695654</v>
      </c>
      <c r="I141" s="22">
        <f t="shared" si="36"/>
        <v>7.0652173913043459E-2</v>
      </c>
      <c r="J141" s="51">
        <v>0.76010916399999995</v>
      </c>
    </row>
    <row r="142" spans="1:21" x14ac:dyDescent="0.25">
      <c r="A142" t="s">
        <v>303</v>
      </c>
      <c r="B142" s="20">
        <f>'S2 - Analysis, All'!B142</f>
        <v>0</v>
      </c>
      <c r="C142" s="20">
        <f>'S2 - Analysis, All'!C142</f>
        <v>0</v>
      </c>
      <c r="D142" s="20">
        <f t="shared" si="33"/>
        <v>0</v>
      </c>
      <c r="F142" t="s">
        <v>303</v>
      </c>
      <c r="G142" s="22">
        <f t="shared" si="34"/>
        <v>0</v>
      </c>
      <c r="H142" s="22">
        <f t="shared" si="35"/>
        <v>0</v>
      </c>
      <c r="I142" s="22">
        <f t="shared" si="36"/>
        <v>0</v>
      </c>
      <c r="J142" s="51">
        <v>1</v>
      </c>
    </row>
    <row r="143" spans="1:21" x14ac:dyDescent="0.25">
      <c r="A143" t="s">
        <v>571</v>
      </c>
      <c r="B143" s="20">
        <f>'S2 - Analysis, All'!B143</f>
        <v>0</v>
      </c>
      <c r="C143" s="20">
        <f>'S2 - Analysis, All'!C143</f>
        <v>1</v>
      </c>
      <c r="D143" s="20">
        <f t="shared" si="33"/>
        <v>1</v>
      </c>
      <c r="F143" t="s">
        <v>571</v>
      </c>
      <c r="G143" s="22">
        <f t="shared" si="34"/>
        <v>0</v>
      </c>
      <c r="H143" s="22">
        <f t="shared" si="35"/>
        <v>4.3478260869565216E-2</v>
      </c>
      <c r="I143" s="22">
        <f t="shared" si="36"/>
        <v>-4.3478260869565216E-2</v>
      </c>
      <c r="J143" s="51">
        <v>0.48936170200000001</v>
      </c>
    </row>
  </sheetData>
  <conditionalFormatting sqref="I1:I1048576 T1:T1048576">
    <cfRule type="colorScale" priority="1">
      <colorScale>
        <cfvo type="min"/>
        <cfvo type="percentile" val="50"/>
        <cfvo type="max"/>
        <color rgb="FFF8696B"/>
        <color rgb="FFFFEB84"/>
        <color rgb="FF63BE7B"/>
      </colorScale>
    </cfRule>
  </conditionalFormatting>
  <conditionalFormatting sqref="I9:I10">
    <cfRule type="colorScale" priority="21">
      <colorScale>
        <cfvo type="min"/>
        <cfvo type="percentile" val="50"/>
        <cfvo type="max"/>
        <color rgb="FFF8696B"/>
        <color rgb="FFFFEB84"/>
        <color rgb="FF63BE7B"/>
      </colorScale>
    </cfRule>
  </conditionalFormatting>
  <conditionalFormatting sqref="I70:I80">
    <cfRule type="colorScale" priority="6">
      <colorScale>
        <cfvo type="min"/>
        <cfvo type="percentile" val="50"/>
        <cfvo type="max"/>
        <color rgb="FFF8696B"/>
        <color rgb="FFFFEB84"/>
        <color rgb="FF63BE7B"/>
      </colorScale>
    </cfRule>
  </conditionalFormatting>
  <conditionalFormatting sqref="I82:I87">
    <cfRule type="colorScale" priority="5">
      <colorScale>
        <cfvo type="min"/>
        <cfvo type="percentile" val="50"/>
        <cfvo type="max"/>
        <color rgb="FFF8696B"/>
        <color rgb="FFFFEB84"/>
        <color rgb="FF63BE7B"/>
      </colorScale>
    </cfRule>
  </conditionalFormatting>
  <conditionalFormatting sqref="I98:I101">
    <cfRule type="colorScale" priority="9">
      <colorScale>
        <cfvo type="min"/>
        <cfvo type="percentile" val="50"/>
        <cfvo type="max"/>
        <color rgb="FFF8696B"/>
        <color rgb="FFFFEB84"/>
        <color rgb="FF63BE7B"/>
      </colorScale>
    </cfRule>
  </conditionalFormatting>
  <conditionalFormatting sqref="I104:I106">
    <cfRule type="colorScale" priority="20">
      <colorScale>
        <cfvo type="min"/>
        <cfvo type="percentile" val="50"/>
        <cfvo type="max"/>
        <color rgb="FFF8696B"/>
        <color rgb="FFFFEB84"/>
        <color rgb="FF63BE7B"/>
      </colorScale>
    </cfRule>
  </conditionalFormatting>
  <conditionalFormatting sqref="I109:I112">
    <cfRule type="colorScale" priority="1508">
      <colorScale>
        <cfvo type="min"/>
        <cfvo type="percentile" val="50"/>
        <cfvo type="max"/>
        <color rgb="FFF8696B"/>
        <color rgb="FFFFEB84"/>
        <color rgb="FF63BE7B"/>
      </colorScale>
    </cfRule>
  </conditionalFormatting>
  <conditionalFormatting sqref="I114">
    <cfRule type="colorScale" priority="43">
      <colorScale>
        <cfvo type="min"/>
        <cfvo type="percentile" val="50"/>
        <cfvo type="max"/>
        <color rgb="FFF8696B"/>
        <color rgb="FFFFEB84"/>
        <color rgb="FF63BE7B"/>
      </colorScale>
    </cfRule>
  </conditionalFormatting>
  <conditionalFormatting sqref="I115:I117">
    <cfRule type="colorScale" priority="42">
      <colorScale>
        <cfvo type="min"/>
        <cfvo type="percentile" val="50"/>
        <cfvo type="max"/>
        <color rgb="FFF8696B"/>
        <color rgb="FFFFEB84"/>
        <color rgb="FF63BE7B"/>
      </colorScale>
    </cfRule>
  </conditionalFormatting>
  <conditionalFormatting sqref="I119:I120">
    <cfRule type="colorScale" priority="929">
      <colorScale>
        <cfvo type="min"/>
        <cfvo type="percentile" val="50"/>
        <cfvo type="max"/>
        <color rgb="FFF8696B"/>
        <color rgb="FFFFEB84"/>
        <color rgb="FF63BE7B"/>
      </colorScale>
    </cfRule>
  </conditionalFormatting>
  <conditionalFormatting sqref="I126:I127">
    <cfRule type="colorScale" priority="27">
      <colorScale>
        <cfvo type="min"/>
        <cfvo type="percentile" val="50"/>
        <cfvo type="max"/>
        <color rgb="FFF8696B"/>
        <color rgb="FFFFEB84"/>
        <color rgb="FF63BE7B"/>
      </colorScale>
    </cfRule>
  </conditionalFormatting>
  <conditionalFormatting sqref="I129:I143 T52:T53 I89:I95 I51:I67 T26:T31 I121:I124 I26:I49 I12:I24">
    <cfRule type="colorScale" priority="1112">
      <colorScale>
        <cfvo type="min"/>
        <cfvo type="percentile" val="50"/>
        <cfvo type="max"/>
        <color rgb="FFF8696B"/>
        <color rgb="FFFFEB84"/>
        <color rgb="FF63BE7B"/>
      </colorScale>
    </cfRule>
  </conditionalFormatting>
  <conditionalFormatting sqref="I129:I1048576 I70:I80 I89:I95 I103:I106 I108:I127 I51:I67 I6:I49 I98:I101 I82:I87">
    <cfRule type="colorScale" priority="1333">
      <colorScale>
        <cfvo type="min"/>
        <cfvo type="percentile" val="50"/>
        <cfvo type="max"/>
        <color rgb="FFF8696B"/>
        <color rgb="FFFFEB84"/>
        <color rgb="FF63BE7B"/>
      </colorScale>
    </cfRule>
  </conditionalFormatting>
  <conditionalFormatting sqref="I129:I1048576 I89:I95 I103:I106 I97:I101 I51:I67 I108:I127 I1:I49 T89:T95 T103:T106 T108:T127 T97:T101 T129:T1048576 T51:T67 T1:T6 T8:T49 I69:I87 T69:T87">
    <cfRule type="colorScale" priority="1353">
      <colorScale>
        <cfvo type="min"/>
        <cfvo type="percentile" val="50"/>
        <cfvo type="max"/>
        <color rgb="FFF8696B"/>
        <color rgb="FFFFEB84"/>
        <color rgb="FF63BE7B"/>
      </colorScale>
    </cfRule>
  </conditionalFormatting>
  <conditionalFormatting sqref="I144:I1048576 I8:I10 I125:I127 I103:I106 I108:I120 I70:I80 I98:I101 I82:I87">
    <cfRule type="colorScale" priority="1277">
      <colorScale>
        <cfvo type="min"/>
        <cfvo type="percentile" val="50"/>
        <cfvo type="max"/>
        <color rgb="FFF8696B"/>
        <color rgb="FFFFEB84"/>
        <color rgb="FF63BE7B"/>
      </colorScale>
    </cfRule>
  </conditionalFormatting>
  <conditionalFormatting sqref="T21:T22">
    <cfRule type="colorScale" priority="47">
      <colorScale>
        <cfvo type="min"/>
        <cfvo type="percentile" val="50"/>
        <cfvo type="max"/>
        <color rgb="FFF8696B"/>
        <color rgb="FFFFEB84"/>
        <color rgb="FF63BE7B"/>
      </colorScale>
    </cfRule>
  </conditionalFormatting>
  <conditionalFormatting sqref="T45:T46">
    <cfRule type="colorScale" priority="12">
      <colorScale>
        <cfvo type="min"/>
        <cfvo type="percentile" val="50"/>
        <cfvo type="max"/>
        <color rgb="FFF8696B"/>
        <color rgb="FFFFEB84"/>
        <color rgb="FF63BE7B"/>
      </colorScale>
    </cfRule>
  </conditionalFormatting>
  <conditionalFormatting sqref="T51">
    <cfRule type="colorScale" priority="25">
      <colorScale>
        <cfvo type="min"/>
        <cfvo type="percentile" val="50"/>
        <cfvo type="max"/>
        <color rgb="FFF8696B"/>
        <color rgb="FFFFEB84"/>
        <color rgb="FF63BE7B"/>
      </colorScale>
    </cfRule>
  </conditionalFormatting>
  <conditionalFormatting sqref="T82:T83">
    <cfRule type="colorScale" priority="2">
      <colorScale>
        <cfvo type="min"/>
        <cfvo type="percentile" val="50"/>
        <cfvo type="max"/>
        <color rgb="FFF8696B"/>
        <color rgb="FFFFEB84"/>
        <color rgb="FF63BE7B"/>
      </colorScale>
    </cfRule>
  </conditionalFormatting>
  <conditionalFormatting sqref="T129">
    <cfRule type="colorScale" priority="46">
      <colorScale>
        <cfvo type="min"/>
        <cfvo type="percentile" val="50"/>
        <cfvo type="max"/>
        <color rgb="FFF8696B"/>
        <color rgb="FFFFEB84"/>
        <color rgb="FF63BE7B"/>
      </colorScale>
    </cfRule>
  </conditionalFormatting>
  <conditionalFormatting sqref="T129:T1048576 I89:I95 I70:I80 I103:I106 I108:I127 I51:I67 I6:I49 I98:I101 T89:T95 T103:T106 T97:T101 T69:T80 T51:T67 T43:T49 T108:T127 T1:T6 I129:I1048576 T8:T35 I82:I87 T82:T87">
    <cfRule type="colorScale" priority="1286">
      <colorScale>
        <cfvo type="min"/>
        <cfvo type="percentile" val="50"/>
        <cfvo type="max"/>
        <color rgb="FFF8696B"/>
        <color rgb="FFFFEB84"/>
        <color rgb="FF63BE7B"/>
      </colorScale>
    </cfRule>
  </conditionalFormatting>
  <conditionalFormatting sqref="T129:T1048576 I89:I95 I70:I80 I103:I106 I108:I127 I97:I101 I51:I67 I1:I49 T89:T95 T103:T106 T108:T127 T97:T101 T69:T80 T51:T67 T1:T6 I129:I1048576 T8:T49 I82:I87 T82:T87">
    <cfRule type="colorScale" priority="1310">
      <colorScale>
        <cfvo type="min"/>
        <cfvo type="percentile" val="50"/>
        <cfvo type="max"/>
        <color rgb="FFF8696B"/>
        <color rgb="FFFFEB84"/>
        <color rgb="FF63BE7B"/>
      </colorScale>
    </cfRule>
  </conditionalFormatting>
  <conditionalFormatting sqref="T129:T1048576 T89:T95 I70:I80 T103:T106 T97:T101 T69:T80 T51:T67 T43:T49 I89:I95 I103:I106 I108:I127 I97:I101 I51:I67 I1:I49 T108:T127 T1:T6 I129:I1048576 T8:T35 I82:I87 T82:T87">
    <cfRule type="colorScale" priority="1412">
      <colorScale>
        <cfvo type="min"/>
        <cfvo type="percentile" val="50"/>
        <cfvo type="max"/>
        <color rgb="FFF8696B"/>
        <color rgb="FFFFEB84"/>
        <color rgb="FF63BE7B"/>
      </colorScale>
    </cfRule>
  </conditionalFormatting>
  <conditionalFormatting sqref="T130:T134">
    <cfRule type="colorScale" priority="86">
      <colorScale>
        <cfvo type="min"/>
        <cfvo type="percentile" val="50"/>
        <cfvo type="max"/>
        <color rgb="FFF8696B"/>
        <color rgb="FFFFEB84"/>
        <color rgb="FF63BE7B"/>
      </colorScale>
    </cfRule>
  </conditionalFormatting>
  <conditionalFormatting sqref="T141:T1048576 I70:I80 T103:T106 T97:T101 T69:T80 T51:T67 I89:I95 I103:I106 I108:I127 I51:I67 I6:I49 I98:I101 T129:T135 T89:T95 T43:T49 T108:T127 T6 I129:I1048576 T8:T35 I82:I87 T82:T87">
    <cfRule type="colorScale" priority="1436">
      <colorScale>
        <cfvo type="min"/>
        <cfvo type="percentile" val="50"/>
        <cfvo type="max"/>
        <color rgb="FFF8696B"/>
        <color rgb="FFFFEB84"/>
        <color rgb="FF63BE7B"/>
      </colorScale>
    </cfRule>
  </conditionalFormatting>
  <conditionalFormatting sqref="T141:T1048576 T103:T106 T97:T101 T69:T80 T54:T67 T51 T129:T135 T89:T95 T43:T49 T108:T127 T6 T8:T35 T82:T87">
    <cfRule type="colorScale" priority="1397">
      <colorScale>
        <cfvo type="min"/>
        <cfvo type="percentile" val="50"/>
        <cfvo type="max"/>
        <color rgb="FFF8696B"/>
        <color rgb="FFFFEB84"/>
        <color rgb="FF63BE7B"/>
      </colorScale>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extLst>
    <ext xmlns:x14="http://schemas.microsoft.com/office/spreadsheetml/2009/9/main" uri="{78C0D931-6437-407d-A8EE-F0AAD7539E65}">
      <x14:conditionalFormattings>
        <x14:conditionalFormatting xmlns:xm="http://schemas.microsoft.com/office/excel/2006/main">
          <x14:cfRule type="iconSet" priority="1374" id="{7073A5DE-1189-4373-B581-D960DCCC29FB}">
            <x14:iconSet iconSet="3Symbols2" custom="1">
              <x14:cfvo type="percent">
                <xm:f>0</xm:f>
              </x14:cfvo>
              <x14:cfvo type="num">
                <xm:f>0.05</xm:f>
              </x14:cfvo>
              <x14:cfvo type="num">
                <xm:f>0.1</xm:f>
              </x14:cfvo>
              <x14:cfIcon iconSet="3Symbols2" iconId="2"/>
              <x14:cfIcon iconSet="3Symbols2" iconId="1"/>
              <x14:cfIcon iconSet="3Symbols2" iconId="0"/>
            </x14:iconSet>
          </x14:cfRule>
          <xm:sqref>U129:U1048576 J89:J95 J70:J80 J103:J106 J108:J127 J51:J67 J6:J49 U89:U95 U103:U106 U108:U127 U97:U101 U69:U80 U51:U67 U1:U6 J98:J101 J129:J1048576 U8:U49 U82:U87 J82:J87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1389-78B4-4579-AFF4-FA4F766E0576}">
  <sheetPr>
    <tabColor theme="4"/>
  </sheetPr>
  <dimension ref="A1:I39"/>
  <sheetViews>
    <sheetView workbookViewId="0"/>
  </sheetViews>
  <sheetFormatPr defaultColWidth="9.140625" defaultRowHeight="15" x14ac:dyDescent="0.25"/>
  <cols>
    <col min="1" max="1" width="18.5703125" style="6" customWidth="1"/>
    <col min="2" max="2" width="22.42578125" style="6" bestFit="1" customWidth="1"/>
    <col min="3" max="3" width="22.140625" style="6" bestFit="1" customWidth="1"/>
    <col min="4" max="4" width="22.28515625" style="6" bestFit="1" customWidth="1"/>
    <col min="5" max="5" width="12" style="85" bestFit="1" customWidth="1"/>
    <col min="6" max="6" width="61.28515625" style="6" bestFit="1" customWidth="1"/>
    <col min="7" max="7" width="18.7109375" style="6" bestFit="1" customWidth="1"/>
    <col min="8" max="8" width="25.7109375" style="6" bestFit="1" customWidth="1"/>
    <col min="9" max="9" width="11.7109375" style="6" bestFit="1" customWidth="1"/>
    <col min="10" max="10" width="9.85546875" style="6" bestFit="1" customWidth="1"/>
    <col min="11" max="16384" width="9.140625" style="6"/>
  </cols>
  <sheetData>
    <row r="1" spans="1:9" customFormat="1" ht="18.75" x14ac:dyDescent="0.3">
      <c r="A1" s="73" t="s">
        <v>773</v>
      </c>
      <c r="C1" s="72"/>
      <c r="D1" s="72"/>
      <c r="E1" s="83"/>
      <c r="F1" s="20"/>
      <c r="G1" s="20"/>
      <c r="H1" s="20"/>
      <c r="I1" s="20"/>
    </row>
    <row r="2" spans="1:9" customFormat="1" ht="15" customHeight="1" x14ac:dyDescent="0.25">
      <c r="A2" s="42" t="s">
        <v>704</v>
      </c>
      <c r="C2" s="72"/>
      <c r="D2" s="72"/>
      <c r="E2" s="83"/>
      <c r="F2" s="20"/>
      <c r="G2" s="20"/>
      <c r="H2" s="20"/>
      <c r="I2" s="20"/>
    </row>
    <row r="3" spans="1:9" customFormat="1" ht="15" customHeight="1" x14ac:dyDescent="0.25">
      <c r="A3" s="94" t="s">
        <v>705</v>
      </c>
      <c r="C3" s="72"/>
      <c r="D3" s="72"/>
      <c r="E3" s="83"/>
      <c r="F3" s="20"/>
      <c r="G3" s="20"/>
      <c r="H3" s="20"/>
      <c r="I3" s="20"/>
    </row>
    <row r="4" spans="1:9" customFormat="1" ht="15" customHeight="1" x14ac:dyDescent="0.25">
      <c r="A4" s="94" t="s">
        <v>706</v>
      </c>
      <c r="C4" s="72"/>
      <c r="D4" s="72"/>
      <c r="E4" s="83"/>
      <c r="F4" s="20"/>
      <c r="G4" s="20"/>
      <c r="H4" s="20"/>
      <c r="I4" s="20"/>
    </row>
    <row r="5" spans="1:9" customFormat="1" ht="15" customHeight="1" x14ac:dyDescent="0.25">
      <c r="A5" s="94" t="s">
        <v>707</v>
      </c>
      <c r="C5" s="72"/>
      <c r="D5" s="72"/>
      <c r="E5" s="83"/>
      <c r="F5" s="20"/>
      <c r="G5" s="20"/>
      <c r="H5" s="20"/>
      <c r="I5" s="20"/>
    </row>
    <row r="6" spans="1:9" customFormat="1" ht="15" customHeight="1" x14ac:dyDescent="0.25">
      <c r="A6" s="75" t="s">
        <v>708</v>
      </c>
      <c r="C6" s="72"/>
      <c r="D6" s="72"/>
      <c r="E6" s="83"/>
      <c r="F6" s="20"/>
      <c r="G6" s="20"/>
      <c r="H6" s="20"/>
      <c r="I6" s="20"/>
    </row>
    <row r="7" spans="1:9" customFormat="1" ht="15" customHeight="1" x14ac:dyDescent="0.25">
      <c r="A7" s="42" t="s">
        <v>709</v>
      </c>
      <c r="C7" s="72"/>
      <c r="D7" s="72"/>
      <c r="E7" s="83"/>
      <c r="F7" s="20"/>
      <c r="G7" s="20"/>
      <c r="H7" s="20"/>
      <c r="I7" s="20"/>
    </row>
    <row r="8" spans="1:9" s="1" customFormat="1" ht="15" customHeight="1" x14ac:dyDescent="0.25">
      <c r="A8" s="74"/>
      <c r="B8"/>
      <c r="C8" s="72"/>
      <c r="D8" s="72"/>
      <c r="E8" s="83"/>
      <c r="F8" s="20"/>
      <c r="G8" s="20"/>
      <c r="H8" s="20"/>
      <c r="I8" s="20"/>
    </row>
    <row r="9" spans="1:9" s="30" customFormat="1" ht="30" x14ac:dyDescent="0.25">
      <c r="A9" s="39" t="s">
        <v>6</v>
      </c>
      <c r="B9" s="76" t="s">
        <v>710</v>
      </c>
      <c r="C9" s="39" t="s">
        <v>711</v>
      </c>
      <c r="D9" s="76" t="s">
        <v>712</v>
      </c>
      <c r="E9" s="84" t="s">
        <v>713</v>
      </c>
      <c r="F9" s="39" t="s">
        <v>714</v>
      </c>
    </row>
    <row r="10" spans="1:9" x14ac:dyDescent="0.25">
      <c r="A10" s="6" t="s">
        <v>715</v>
      </c>
      <c r="B10" s="6" t="s">
        <v>34</v>
      </c>
      <c r="C10" s="6" t="s">
        <v>34</v>
      </c>
      <c r="D10" s="6" t="s">
        <v>716</v>
      </c>
      <c r="E10" s="85" t="s">
        <v>716</v>
      </c>
      <c r="F10" s="3" t="s">
        <v>717</v>
      </c>
    </row>
    <row r="11" spans="1:9" ht="32.25" customHeight="1" x14ac:dyDescent="0.25">
      <c r="A11" s="6" t="s">
        <v>718</v>
      </c>
      <c r="B11" s="6" t="s">
        <v>34</v>
      </c>
      <c r="C11" s="6" t="s">
        <v>34</v>
      </c>
      <c r="D11" s="6" t="s">
        <v>716</v>
      </c>
      <c r="E11" s="85" t="s">
        <v>716</v>
      </c>
      <c r="F11" s="3" t="s">
        <v>719</v>
      </c>
    </row>
    <row r="12" spans="1:9" ht="45" x14ac:dyDescent="0.25">
      <c r="A12" s="48" t="s">
        <v>720</v>
      </c>
      <c r="B12" s="48" t="s">
        <v>28</v>
      </c>
      <c r="C12" s="48" t="s">
        <v>34</v>
      </c>
      <c r="D12" s="48" t="s">
        <v>721</v>
      </c>
      <c r="E12" s="86">
        <v>39.799999999999997</v>
      </c>
      <c r="F12" s="88" t="s">
        <v>722</v>
      </c>
    </row>
    <row r="13" spans="1:9" x14ac:dyDescent="0.25">
      <c r="A13" s="48" t="s">
        <v>723</v>
      </c>
      <c r="B13" s="48" t="s">
        <v>28</v>
      </c>
      <c r="C13" s="48" t="s">
        <v>34</v>
      </c>
      <c r="D13" s="48" t="s">
        <v>721</v>
      </c>
      <c r="E13" s="86">
        <v>39.177595628415304</v>
      </c>
      <c r="F13" s="91" t="s">
        <v>724</v>
      </c>
    </row>
    <row r="14" spans="1:9" x14ac:dyDescent="0.25">
      <c r="A14" s="48" t="s">
        <v>725</v>
      </c>
      <c r="B14" s="48" t="s">
        <v>28</v>
      </c>
      <c r="C14" s="48" t="s">
        <v>34</v>
      </c>
      <c r="D14" s="48" t="s">
        <v>721</v>
      </c>
      <c r="E14" s="86">
        <v>36.299999999999997</v>
      </c>
      <c r="F14" s="91" t="s">
        <v>724</v>
      </c>
    </row>
    <row r="15" spans="1:9" x14ac:dyDescent="0.25">
      <c r="A15" s="48" t="s">
        <v>726</v>
      </c>
      <c r="B15" s="48" t="s">
        <v>28</v>
      </c>
      <c r="C15" s="48" t="s">
        <v>34</v>
      </c>
      <c r="D15" s="48" t="s">
        <v>721</v>
      </c>
      <c r="E15" s="86">
        <v>27.2</v>
      </c>
      <c r="F15" s="91" t="s">
        <v>724</v>
      </c>
    </row>
    <row r="16" spans="1:9" ht="45" x14ac:dyDescent="0.25">
      <c r="A16" s="48" t="s">
        <v>727</v>
      </c>
      <c r="B16" s="48" t="s">
        <v>28</v>
      </c>
      <c r="C16" s="48" t="s">
        <v>34</v>
      </c>
      <c r="D16" s="48" t="s">
        <v>721</v>
      </c>
      <c r="E16" s="86">
        <v>53</v>
      </c>
      <c r="F16" s="88" t="s">
        <v>728</v>
      </c>
    </row>
    <row r="17" spans="1:6" x14ac:dyDescent="0.25">
      <c r="A17" s="48" t="s">
        <v>729</v>
      </c>
      <c r="B17" s="48" t="s">
        <v>28</v>
      </c>
      <c r="C17" s="48" t="s">
        <v>34</v>
      </c>
      <c r="D17" s="48" t="s">
        <v>721</v>
      </c>
      <c r="E17" s="86">
        <v>58</v>
      </c>
      <c r="F17" s="91" t="s">
        <v>724</v>
      </c>
    </row>
    <row r="18" spans="1:6" ht="75" x14ac:dyDescent="0.25">
      <c r="A18" s="65" t="s">
        <v>730</v>
      </c>
      <c r="B18" s="65" t="s">
        <v>28</v>
      </c>
      <c r="C18" s="65" t="s">
        <v>34</v>
      </c>
      <c r="D18" s="89" t="s">
        <v>731</v>
      </c>
      <c r="E18" s="90">
        <v>57.58</v>
      </c>
      <c r="F18" s="89" t="s">
        <v>732</v>
      </c>
    </row>
    <row r="19" spans="1:6" x14ac:dyDescent="0.25">
      <c r="A19" s="65" t="s">
        <v>733</v>
      </c>
      <c r="B19" s="65" t="s">
        <v>28</v>
      </c>
      <c r="C19" s="65" t="s">
        <v>34</v>
      </c>
      <c r="D19" s="65" t="s">
        <v>731</v>
      </c>
      <c r="E19" s="90">
        <v>50.9</v>
      </c>
      <c r="F19" s="92" t="s">
        <v>724</v>
      </c>
    </row>
    <row r="20" spans="1:6" x14ac:dyDescent="0.25">
      <c r="A20" s="71" t="s">
        <v>734</v>
      </c>
      <c r="B20" s="47" t="s">
        <v>28</v>
      </c>
      <c r="C20" s="47" t="s">
        <v>28</v>
      </c>
      <c r="D20" s="47" t="s">
        <v>731</v>
      </c>
      <c r="E20" s="87">
        <v>45.8</v>
      </c>
      <c r="F20" s="93" t="s">
        <v>724</v>
      </c>
    </row>
    <row r="21" spans="1:6" x14ac:dyDescent="0.25">
      <c r="A21" s="47" t="s">
        <v>735</v>
      </c>
      <c r="B21" s="47" t="s">
        <v>28</v>
      </c>
      <c r="C21" s="47" t="s">
        <v>28</v>
      </c>
      <c r="D21" s="47" t="s">
        <v>731</v>
      </c>
      <c r="E21" s="87">
        <v>38.76</v>
      </c>
      <c r="F21" s="93" t="s">
        <v>724</v>
      </c>
    </row>
    <row r="22" spans="1:6" x14ac:dyDescent="0.25">
      <c r="A22" s="47" t="s">
        <v>736</v>
      </c>
      <c r="B22" s="47" t="s">
        <v>28</v>
      </c>
      <c r="C22" s="47" t="s">
        <v>28</v>
      </c>
      <c r="D22" s="71" t="s">
        <v>731</v>
      </c>
      <c r="E22" s="87">
        <v>38.4</v>
      </c>
      <c r="F22" s="93" t="s">
        <v>724</v>
      </c>
    </row>
    <row r="23" spans="1:6" x14ac:dyDescent="0.25">
      <c r="A23" s="47" t="s">
        <v>737</v>
      </c>
      <c r="B23" s="47" t="s">
        <v>28</v>
      </c>
      <c r="C23" s="47" t="s">
        <v>28</v>
      </c>
      <c r="D23" s="47" t="s">
        <v>731</v>
      </c>
      <c r="E23" s="87">
        <v>52.8</v>
      </c>
      <c r="F23" s="93" t="s">
        <v>724</v>
      </c>
    </row>
    <row r="24" spans="1:6" ht="30" x14ac:dyDescent="0.25">
      <c r="A24" s="47" t="s">
        <v>738</v>
      </c>
      <c r="B24" s="47" t="s">
        <v>28</v>
      </c>
      <c r="C24" s="47" t="s">
        <v>739</v>
      </c>
      <c r="D24" s="71" t="s">
        <v>740</v>
      </c>
      <c r="E24" s="87">
        <v>51</v>
      </c>
      <c r="F24" s="93" t="s">
        <v>724</v>
      </c>
    </row>
    <row r="25" spans="1:6" x14ac:dyDescent="0.25">
      <c r="A25" s="47" t="s">
        <v>741</v>
      </c>
      <c r="B25" s="47" t="s">
        <v>28</v>
      </c>
      <c r="C25" s="47" t="s">
        <v>28</v>
      </c>
      <c r="D25" s="47" t="s">
        <v>742</v>
      </c>
      <c r="E25" s="87">
        <v>26.5</v>
      </c>
      <c r="F25" s="93" t="s">
        <v>724</v>
      </c>
    </row>
    <row r="26" spans="1:6" x14ac:dyDescent="0.25">
      <c r="A26" s="47" t="s">
        <v>743</v>
      </c>
      <c r="B26" s="47" t="s">
        <v>28</v>
      </c>
      <c r="C26" s="47" t="s">
        <v>739</v>
      </c>
      <c r="D26" s="47" t="s">
        <v>731</v>
      </c>
      <c r="E26" s="87">
        <v>53.8</v>
      </c>
      <c r="F26" s="93" t="s">
        <v>724</v>
      </c>
    </row>
    <row r="27" spans="1:6" x14ac:dyDescent="0.25">
      <c r="A27" s="47" t="s">
        <v>744</v>
      </c>
      <c r="B27" s="47" t="s">
        <v>28</v>
      </c>
      <c r="C27" s="47" t="s">
        <v>28</v>
      </c>
      <c r="D27" s="47" t="s">
        <v>731</v>
      </c>
      <c r="E27" s="87">
        <v>45.79</v>
      </c>
      <c r="F27" s="93" t="s">
        <v>724</v>
      </c>
    </row>
    <row r="28" spans="1:6" x14ac:dyDescent="0.25">
      <c r="A28" s="47" t="s">
        <v>745</v>
      </c>
      <c r="B28" s="47" t="s">
        <v>28</v>
      </c>
      <c r="C28" s="47" t="s">
        <v>739</v>
      </c>
      <c r="D28" s="47" t="s">
        <v>731</v>
      </c>
      <c r="E28" s="87">
        <v>55</v>
      </c>
      <c r="F28" s="93" t="s">
        <v>724</v>
      </c>
    </row>
    <row r="30" spans="1:6" x14ac:dyDescent="0.25">
      <c r="A30" s="145" t="s">
        <v>746</v>
      </c>
      <c r="B30" s="145"/>
      <c r="C30" s="145"/>
      <c r="D30" s="145"/>
    </row>
    <row r="31" spans="1:6" x14ac:dyDescent="0.25">
      <c r="A31" s="39"/>
      <c r="B31" s="39" t="s">
        <v>747</v>
      </c>
      <c r="C31" s="39" t="s">
        <v>748</v>
      </c>
      <c r="D31" s="77" t="s">
        <v>749</v>
      </c>
    </row>
    <row r="32" spans="1:6" x14ac:dyDescent="0.25">
      <c r="A32" s="30" t="s">
        <v>750</v>
      </c>
      <c r="B32" s="6">
        <v>6</v>
      </c>
      <c r="C32" s="6">
        <v>0</v>
      </c>
      <c r="D32" s="30" t="s">
        <v>751</v>
      </c>
    </row>
    <row r="33" spans="1:4" x14ac:dyDescent="0.25">
      <c r="A33" s="30" t="s">
        <v>752</v>
      </c>
      <c r="B33" s="6">
        <v>2</v>
      </c>
      <c r="C33" s="6">
        <v>6</v>
      </c>
    </row>
    <row r="34" spans="1:4" x14ac:dyDescent="0.25">
      <c r="A34" s="30"/>
    </row>
    <row r="35" spans="1:4" x14ac:dyDescent="0.25">
      <c r="A35" s="39"/>
      <c r="B35" s="39" t="s">
        <v>747</v>
      </c>
      <c r="C35" s="39" t="s">
        <v>748</v>
      </c>
      <c r="D35" s="77" t="s">
        <v>749</v>
      </c>
    </row>
    <row r="36" spans="1:4" ht="30" x14ac:dyDescent="0.25">
      <c r="A36" s="9" t="s">
        <v>753</v>
      </c>
      <c r="B36" s="6">
        <v>9</v>
      </c>
      <c r="C36" s="6">
        <v>0</v>
      </c>
      <c r="D36" s="30" t="s">
        <v>754</v>
      </c>
    </row>
    <row r="37" spans="1:4" x14ac:dyDescent="0.25">
      <c r="A37" s="30" t="s">
        <v>752</v>
      </c>
      <c r="B37" s="6">
        <v>2</v>
      </c>
      <c r="C37" s="6">
        <v>6</v>
      </c>
    </row>
    <row r="39" spans="1:4" x14ac:dyDescent="0.25">
      <c r="A39" s="6" t="s">
        <v>755</v>
      </c>
      <c r="D39" s="106">
        <f>_xlfn.T.TEST(E12:E17,E18:E28,2,2)</f>
        <v>0.36868601617441699</v>
      </c>
    </row>
  </sheetData>
  <sortState xmlns:xlrd2="http://schemas.microsoft.com/office/spreadsheetml/2017/richdata2" ref="A10:D27">
    <sortCondition ref="B10:B27"/>
  </sortState>
  <mergeCells count="1">
    <mergeCell ref="A30:D30"/>
  </mergeCells>
  <conditionalFormatting sqref="I7 T7">
    <cfRule type="colorScale" priority="1">
      <colorScale>
        <cfvo type="min"/>
        <cfvo type="percentile" val="50"/>
        <cfvo type="max"/>
        <color rgb="FFF8696B"/>
        <color rgb="FFFFEB84"/>
        <color rgb="FF63BE7B"/>
      </colorScale>
    </cfRule>
  </conditionalFormatting>
  <conditionalFormatting sqref="T7">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headerFooter>
    <oddHeader>&amp;C&amp;"Calibri"&amp;12&amp;KFF0000 OFFICIAL&amp;1#_x000D_</oddHeader>
    <oddFooter>&amp;C_x000D_&amp;1#&amp;"Calibri"&amp;12&amp;KFF0000 OFFICIAL</oddFooter>
  </headerFooter>
  <extLst>
    <ext xmlns:x14="http://schemas.microsoft.com/office/spreadsheetml/2009/9/main" uri="{78C0D931-6437-407d-A8EE-F0AAD7539E65}">
      <x14:conditionalFormattings>
        <x14:conditionalFormatting xmlns:xm="http://schemas.microsoft.com/office/excel/2006/main">
          <x14:cfRule type="iconSet" priority="3" id="{A52E89F1-7C10-42B0-8E3A-90C6F94D0E3F}">
            <x14:iconSet iconSet="3Symbols2" custom="1">
              <x14:cfvo type="percent">
                <xm:f>0</xm:f>
              </x14:cfvo>
              <x14:cfvo type="num">
                <xm:f>0.05</xm:f>
              </x14:cfvo>
              <x14:cfvo type="num">
                <xm:f>0.1</xm:f>
              </x14:cfvo>
              <x14:cfIcon iconSet="3Symbols2" iconId="2"/>
              <x14:cfIcon iconSet="3Symbols2" iconId="1"/>
              <x14:cfIcon iconSet="3Symbols2" iconId="0"/>
            </x14:iconSet>
          </x14:cfRule>
          <xm:sqref>U7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500BCFB670DC49A4336A8ADCFCC879" ma:contentTypeVersion="4" ma:contentTypeDescription="Create a new document." ma:contentTypeScope="" ma:versionID="9ac7fd8956faa4a34f5e41d31a6dd4ca">
  <xsd:schema xmlns:xsd="http://www.w3.org/2001/XMLSchema" xmlns:xs="http://www.w3.org/2001/XMLSchema" xmlns:p="http://schemas.microsoft.com/office/2006/metadata/properties" xmlns:ns2="92aa883f-66db-4af5-8e45-d9f4386da43b" targetNamespace="http://schemas.microsoft.com/office/2006/metadata/properties" ma:root="true" ma:fieldsID="b9e72ff2ddde3612ca423a59a90ac982" ns2:_="">
    <xsd:import namespace="92aa883f-66db-4af5-8e45-d9f4386da4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aa883f-66db-4af5-8e45-d9f4386da4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CF590D-3F7A-4716-9D78-560D9FC0DA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aa883f-66db-4af5-8e45-d9f4386da4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4F67FD-50BF-41F1-BAAE-3A3970DCBCA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2079C22-762C-435F-96DD-81434F110E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S1 - Interventions</vt:lpstr>
      <vt:lpstr>S2 - Analysis, All</vt:lpstr>
      <vt:lpstr>S3 - Analysis, Eff vs. Not Eff</vt:lpstr>
      <vt:lpstr>S4 - Participant Education</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Kerstens, Beck (H&amp;B, Westmead)</dc:creator>
  <cp:keywords/>
  <dc:description/>
  <cp:lastModifiedBy>Liew, Yi Jin (H&amp;B, Westmead)</cp:lastModifiedBy>
  <cp:revision/>
  <dcterms:created xsi:type="dcterms:W3CDTF">2025-01-06T00:17:01Z</dcterms:created>
  <dcterms:modified xsi:type="dcterms:W3CDTF">2025-12-01T05:26:39Z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0x0101004A500BCFB670DC49A4336A8ADCFCC879</vt:lpwstr>
  </property>
  <property fmtid="{D5CDD505-2E9C-101B-9397-08002B2CF9AE}" pid="3" name="MSIP_Label_0ad370f1-5840-4c36-bb65-89acaaf849ca_Enabled">
    <vt:lpwstr>true</vt:lpwstr>
  </property>
  <property fmtid="{D5CDD505-2E9C-101B-9397-08002B2CF9AE}" pid="4" name="MSIP_Label_0ad370f1-5840-4c36-bb65-89acaaf849ca_SetDate">
    <vt:lpwstr>2025-08-21T06:30:18Z</vt:lpwstr>
  </property>
  <property fmtid="{D5CDD505-2E9C-101B-9397-08002B2CF9AE}" pid="5" name="MSIP_Label_0ad370f1-5840-4c36-bb65-89acaaf849ca_Method">
    <vt:lpwstr>Privileged</vt:lpwstr>
  </property>
  <property fmtid="{D5CDD505-2E9C-101B-9397-08002B2CF9AE}" pid="6" name="MSIP_Label_0ad370f1-5840-4c36-bb65-89acaaf849ca_Name">
    <vt:lpwstr>OFFICIAL</vt:lpwstr>
  </property>
  <property fmtid="{D5CDD505-2E9C-101B-9397-08002B2CF9AE}" pid="7" name="MSIP_Label_0ad370f1-5840-4c36-bb65-89acaaf849ca_SiteId">
    <vt:lpwstr>0fe05593-19ac-4f98-adbf-0375fce7f160</vt:lpwstr>
  </property>
  <property fmtid="{D5CDD505-2E9C-101B-9397-08002B2CF9AE}" pid="8" name="MSIP_Label_0ad370f1-5840-4c36-bb65-89acaaf849ca_ActionId">
    <vt:lpwstr>978ae948-12bb-41be-8af2-75f643ca7046</vt:lpwstr>
  </property>
  <property fmtid="{D5CDD505-2E9C-101B-9397-08002B2CF9AE}" pid="9" name="MSIP_Label_0ad370f1-5840-4c36-bb65-89acaaf849ca_ContentBits">
    <vt:lpwstr>3</vt:lpwstr>
  </property>
  <property fmtid="{D5CDD505-2E9C-101B-9397-08002B2CF9AE}" pid="10" name="MSIP_Label_0ad370f1-5840-4c36-bb65-89acaaf849ca_Tag">
    <vt:lpwstr>10, 0, 1, 1</vt:lpwstr>
  </property>
</Properties>
</file>